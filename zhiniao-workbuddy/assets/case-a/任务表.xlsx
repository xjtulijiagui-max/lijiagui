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jtul\AppData\Local\Temp\case-a-excel-e1c5a56ede3b4d4d91e73a09db7c19da\"/>
    </mc:Choice>
  </mc:AlternateContent>
  <xr:revisionPtr revIDLastSave="0" documentId="13_ncr:1_{0F12292A-46AA-4F28-A1ED-BBBF990B99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数据" sheetId="1" r:id="rId1"/>
    <sheet name="字段说明" sheetId="2" r:id="rId2"/>
  </sheets>
  <definedNames>
    <definedName name="_xlnm._FilterDatabase" localSheetId="0" hidden="1">数据!$A$4:$S$14</definedName>
  </definedNames>
  <calcPr calcId="181029" forceFullCalc="1"/>
</workbook>
</file>

<file path=xl/calcChain.xml><?xml version="1.0" encoding="utf-8"?>
<calcChain xmlns="http://schemas.openxmlformats.org/spreadsheetml/2006/main">
  <c r="P14" i="1" l="1"/>
  <c r="L14" i="1"/>
  <c r="K14" i="1"/>
  <c r="P13" i="1"/>
  <c r="L13" i="1"/>
  <c r="K13" i="1"/>
  <c r="P12" i="1"/>
  <c r="L12" i="1"/>
  <c r="K12" i="1"/>
  <c r="P11" i="1"/>
  <c r="L11" i="1"/>
  <c r="K11" i="1"/>
  <c r="P10" i="1"/>
  <c r="L10" i="1"/>
  <c r="K10" i="1"/>
  <c r="P9" i="1"/>
  <c r="L9" i="1"/>
  <c r="K9" i="1"/>
  <c r="P8" i="1"/>
  <c r="L8" i="1"/>
  <c r="K8" i="1"/>
  <c r="P7" i="1"/>
  <c r="L7" i="1"/>
  <c r="K7" i="1"/>
  <c r="P6" i="1"/>
  <c r="L6" i="1"/>
  <c r="K6" i="1"/>
  <c r="P5" i="1"/>
  <c r="L5" i="1"/>
  <c r="K5" i="1"/>
</calcChain>
</file>

<file path=xl/sharedStrings.xml><?xml version="1.0" encoding="utf-8"?>
<sst xmlns="http://schemas.openxmlformats.org/spreadsheetml/2006/main" count="124" uniqueCount="84">
  <si>
    <t>新品酸奶90天上市项目｜任务表</t>
  </si>
  <si>
    <t>课堂模拟数据｜数据日期：2026-09-18｜不对应任何真实企业、品牌、人员或经营数据。 金额单位：万元。</t>
  </si>
  <si>
    <t>任务ID</t>
  </si>
  <si>
    <t>项目ID</t>
  </si>
  <si>
    <t>任务名称</t>
  </si>
  <si>
    <t>负责人</t>
  </si>
  <si>
    <t>前置任务ID</t>
  </si>
  <si>
    <t>完成度</t>
  </si>
  <si>
    <t>状态</t>
  </si>
  <si>
    <t>计划完成日期</t>
  </si>
  <si>
    <t>昨天预测日期</t>
  </si>
  <si>
    <t>当前预测日期</t>
  </si>
  <si>
    <t>预计延期天数</t>
  </si>
  <si>
    <t>较昨天变化天数</t>
  </si>
  <si>
    <t>是否关键路径</t>
  </si>
  <si>
    <t>任务预算</t>
  </si>
  <si>
    <t>实际支出</t>
  </si>
  <si>
    <t>成本偏差</t>
  </si>
  <si>
    <t>资源ID</t>
  </si>
  <si>
    <t>最新说明</t>
  </si>
  <si>
    <t>数据日期</t>
  </si>
  <si>
    <t>T01</t>
  </si>
  <si>
    <t>P01</t>
  </si>
  <si>
    <t>配方测试与定型</t>
  </si>
  <si>
    <t>研发负责人</t>
  </si>
  <si>
    <t>已完成</t>
  </si>
  <si>
    <t>是</t>
  </si>
  <si>
    <t>R02</t>
  </si>
  <si>
    <t>配方和卖点已冻结</t>
  </si>
  <si>
    <t>T02</t>
  </si>
  <si>
    <t>P02</t>
  </si>
  <si>
    <t>包材供应商确认</t>
  </si>
  <si>
    <t>采购经理</t>
  </si>
  <si>
    <t>否</t>
  </si>
  <si>
    <t>R03</t>
  </si>
  <si>
    <t>首批包材确认完成</t>
  </si>
  <si>
    <t>T03</t>
  </si>
  <si>
    <t>设备改造</t>
  </si>
  <si>
    <t>设备工程师</t>
  </si>
  <si>
    <t>推进中</t>
  </si>
  <si>
    <t>R01,R02</t>
  </si>
  <si>
    <t>校准工作量增加，预测完成日期比昨天再后移2天</t>
  </si>
  <si>
    <t>T04</t>
  </si>
  <si>
    <t>核心原料采购</t>
  </si>
  <si>
    <t>R04</t>
  </si>
  <si>
    <t>核心供应商A预计延期3天</t>
  </si>
  <si>
    <t>T05</t>
  </si>
  <si>
    <t>首批试产</t>
  </si>
  <si>
    <t>生产经理</t>
  </si>
  <si>
    <t>T02,T03,T04</t>
  </si>
  <si>
    <t>受设备与原料双重影响，试产窗口后移</t>
  </si>
  <si>
    <t>T06</t>
  </si>
  <si>
    <t>量产验收</t>
  </si>
  <si>
    <t>质量负责人</t>
  </si>
  <si>
    <t>未开始</t>
  </si>
  <si>
    <t>只有试产完成且质量数据达标后才能开始</t>
  </si>
  <si>
    <t>T07</t>
  </si>
  <si>
    <t>P03</t>
  </si>
  <si>
    <t>经销商培训</t>
  </si>
  <si>
    <t>渠道负责人</t>
  </si>
  <si>
    <t>R06</t>
  </si>
  <si>
    <t>正常推进</t>
  </si>
  <si>
    <t>T08</t>
  </si>
  <si>
    <t>渠道物料制作</t>
  </si>
  <si>
    <t>市场经理</t>
  </si>
  <si>
    <t>T01,T02</t>
  </si>
  <si>
    <t>R03,R06</t>
  </si>
  <si>
    <t>部分终端物料待最终包装图</t>
  </si>
  <si>
    <t>T09</t>
  </si>
  <si>
    <t>华东首批铺货</t>
  </si>
  <si>
    <t>T06,T07,T08</t>
  </si>
  <si>
    <t>量产验收若后移，首批铺货无法按原窗口完成</t>
  </si>
  <si>
    <t>T10</t>
  </si>
  <si>
    <t>正式上市</t>
  </si>
  <si>
    <t>新品上市项目经理</t>
  </si>
  <si>
    <t>当前预测已越过目标日期</t>
  </si>
  <si>
    <t>任务表.xlsx</t>
  </si>
  <si>
    <t>字段</t>
  </si>
  <si>
    <t>说明</t>
  </si>
  <si>
    <t>跨表关联主键；跟进记录通过对象ID引用任务。</t>
  </si>
  <si>
    <t>多个依赖用英文逗号分隔。</t>
  </si>
  <si>
    <t>当前预测日期－计划完成日期，最小为0。</t>
  </si>
  <si>
    <t>当前预测日期－昨天预测日期。</t>
  </si>
  <si>
    <t>延期时触发风险等级+1。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</si>
</sst>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8" formatCode="yyyy\-mm\-dd"/>
    <numFmt numFmtId="179" formatCode="#,##0.0&quot;万元&quot;"/>
  </numFmts>
  <fonts count="7">
    <font>
      <sz val="11"/>
      <color theme="1"/>
      <name val="宋体"/>
      <family val="2"/>
      <scheme val="minor"/>
    </font>
    <font>
      <b/>
      <sz val="18"/>
      <color rgb="FFFFFFFF"/>
      <name val="Microsoft YaHei"/>
      <family val="2"/>
      <charset val="134"/>
    </font>
    <font>
      <i/>
      <sz val="10"/>
      <color rgb="FF5B6573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1F2937"/>
      <name val="Microsoft YaHei"/>
      <family val="2"/>
      <charset val="134"/>
    </font>
    <font>
      <sz val="10"/>
      <color rgb="FF5B6573"/>
      <name val="Microsoft YaHei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1F4E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176" fontId="4" fillId="5" borderId="1" xfId="0" applyNumberFormat="1" applyFont="1" applyFill="1" applyBorder="1" applyAlignment="1">
      <alignment horizontal="right" vertical="top"/>
    </xf>
    <xf numFmtId="178" fontId="4" fillId="5" borderId="1" xfId="0" applyNumberFormat="1" applyFont="1" applyFill="1" applyBorder="1" applyAlignment="1">
      <alignment horizontal="center" vertical="top"/>
    </xf>
    <xf numFmtId="179" fontId="4" fillId="5" borderId="1" xfId="0" applyNumberFormat="1" applyFont="1" applyFill="1" applyBorder="1" applyAlignment="1">
      <alignment horizontal="right" vertical="top"/>
    </xf>
    <xf numFmtId="0" fontId="4" fillId="3" borderId="1" xfId="0" applyFont="1" applyFill="1" applyBorder="1" applyAlignment="1">
      <alignment vertical="top" wrapText="1"/>
    </xf>
    <xf numFmtId="176" fontId="4" fillId="3" borderId="1" xfId="0" applyNumberFormat="1" applyFont="1" applyFill="1" applyBorder="1" applyAlignment="1">
      <alignment horizontal="right" vertical="top"/>
    </xf>
    <xf numFmtId="178" fontId="4" fillId="3" borderId="1" xfId="0" applyNumberFormat="1" applyFont="1" applyFill="1" applyBorder="1" applyAlignment="1">
      <alignment horizontal="center" vertical="top"/>
    </xf>
    <xf numFmtId="179" fontId="4" fillId="3" borderId="1" xfId="0" applyNumberFormat="1" applyFont="1" applyFill="1" applyBorder="1" applyAlignment="1">
      <alignment horizontal="right" vertical="top"/>
    </xf>
    <xf numFmtId="0" fontId="3" fillId="4" borderId="0" xfId="0" applyFont="1" applyFill="1" applyAlignment="1">
      <alignment vertical="center"/>
    </xf>
    <xf numFmtId="0" fontId="4" fillId="0" borderId="1" xfId="0" applyFont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5" fillId="0" borderId="0" xfId="0" applyFont="1"/>
    <xf numFmtId="0" fontId="1" fillId="2" borderId="0" xfId="0" applyFont="1" applyFill="1"/>
  </cellXfs>
  <cellStyles count="1">
    <cellStyle name="常规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F4B183"/>
        </patternFill>
      </fill>
    </dxf>
    <dxf>
      <font>
        <b/>
        <color rgb="FFC00000"/>
      </font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showGridLines="0" tabSelected="1" workbookViewId="0">
      <pane ySplit="4" topLeftCell="A5" activePane="bottomLeft" state="frozen"/>
      <selection pane="bottomLeft" sqref="A1:S1"/>
    </sheetView>
  </sheetViews>
  <sheetFormatPr defaultRowHeight="13.5" outlineLevelRow="1"/>
  <cols>
    <col min="1" max="2" width="11" customWidth="1"/>
    <col min="3" max="3" width="22" customWidth="1"/>
    <col min="4" max="4" width="16" customWidth="1"/>
    <col min="5" max="5" width="18" customWidth="1"/>
    <col min="6" max="7" width="11" customWidth="1"/>
    <col min="8" max="11" width="14" customWidth="1"/>
    <col min="12" max="12" width="16" customWidth="1"/>
    <col min="13" max="13" width="14" customWidth="1"/>
    <col min="14" max="16" width="12" customWidth="1"/>
    <col min="17" max="17" width="16" customWidth="1"/>
    <col min="18" max="18" width="34" customWidth="1"/>
    <col min="19" max="19" width="13" customWidth="1"/>
  </cols>
  <sheetData>
    <row r="1" spans="1:19" ht="30" customHeight="1" outlineLevel="1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32.1" customHeight="1" outlineLevel="1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4" spans="1:19" ht="32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</row>
    <row r="5" spans="1:19" ht="16.5">
      <c r="A5" s="2" t="s">
        <v>21</v>
      </c>
      <c r="B5" s="2" t="s">
        <v>22</v>
      </c>
      <c r="C5" s="2" t="s">
        <v>23</v>
      </c>
      <c r="D5" s="2" t="s">
        <v>24</v>
      </c>
      <c r="E5" s="2"/>
      <c r="F5" s="3">
        <v>1</v>
      </c>
      <c r="G5" s="2" t="s">
        <v>25</v>
      </c>
      <c r="H5" s="4">
        <v>46273</v>
      </c>
      <c r="I5" s="4">
        <v>46273</v>
      </c>
      <c r="J5" s="4">
        <v>46273</v>
      </c>
      <c r="K5" s="2">
        <f t="shared" ref="K5:K14" si="0">MAX(0,J5-H5)</f>
        <v>0</v>
      </c>
      <c r="L5" s="2">
        <f t="shared" ref="L5:L14" si="1">J5-I5</f>
        <v>0</v>
      </c>
      <c r="M5" s="2" t="s">
        <v>26</v>
      </c>
      <c r="N5" s="5">
        <v>30</v>
      </c>
      <c r="O5" s="5">
        <v>29</v>
      </c>
      <c r="P5" s="5">
        <f t="shared" ref="P5:P14" si="2">O5-N5</f>
        <v>-1</v>
      </c>
      <c r="Q5" s="2" t="s">
        <v>27</v>
      </c>
      <c r="R5" s="2" t="s">
        <v>28</v>
      </c>
      <c r="S5" s="4">
        <v>46283</v>
      </c>
    </row>
    <row r="6" spans="1:19" ht="16.5">
      <c r="A6" s="6" t="s">
        <v>29</v>
      </c>
      <c r="B6" s="6" t="s">
        <v>30</v>
      </c>
      <c r="C6" s="6" t="s">
        <v>31</v>
      </c>
      <c r="D6" s="6" t="s">
        <v>32</v>
      </c>
      <c r="E6" s="6" t="s">
        <v>21</v>
      </c>
      <c r="F6" s="7">
        <v>1</v>
      </c>
      <c r="G6" s="6" t="s">
        <v>25</v>
      </c>
      <c r="H6" s="8">
        <v>46277</v>
      </c>
      <c r="I6" s="8">
        <v>46277</v>
      </c>
      <c r="J6" s="8">
        <v>46277</v>
      </c>
      <c r="K6" s="6">
        <f t="shared" si="0"/>
        <v>0</v>
      </c>
      <c r="L6" s="6">
        <f t="shared" si="1"/>
        <v>0</v>
      </c>
      <c r="M6" s="6" t="s">
        <v>33</v>
      </c>
      <c r="N6" s="9">
        <v>35</v>
      </c>
      <c r="O6" s="9">
        <v>34</v>
      </c>
      <c r="P6" s="9">
        <f t="shared" si="2"/>
        <v>-1</v>
      </c>
      <c r="Q6" s="6" t="s">
        <v>34</v>
      </c>
      <c r="R6" s="6" t="s">
        <v>35</v>
      </c>
      <c r="S6" s="8">
        <v>46283</v>
      </c>
    </row>
    <row r="7" spans="1:19" ht="33">
      <c r="A7" s="2" t="s">
        <v>36</v>
      </c>
      <c r="B7" s="2" t="s">
        <v>30</v>
      </c>
      <c r="C7" s="2" t="s">
        <v>37</v>
      </c>
      <c r="D7" s="2" t="s">
        <v>38</v>
      </c>
      <c r="E7" s="2" t="s">
        <v>21</v>
      </c>
      <c r="F7" s="3">
        <v>0.8</v>
      </c>
      <c r="G7" s="2" t="s">
        <v>39</v>
      </c>
      <c r="H7" s="4">
        <v>46283</v>
      </c>
      <c r="I7" s="4">
        <v>46284</v>
      </c>
      <c r="J7" s="4">
        <v>46286</v>
      </c>
      <c r="K7" s="2">
        <f t="shared" si="0"/>
        <v>3</v>
      </c>
      <c r="L7" s="2">
        <f t="shared" si="1"/>
        <v>2</v>
      </c>
      <c r="M7" s="2" t="s">
        <v>26</v>
      </c>
      <c r="N7" s="5">
        <v>80</v>
      </c>
      <c r="O7" s="5">
        <v>83</v>
      </c>
      <c r="P7" s="5">
        <f t="shared" si="2"/>
        <v>3</v>
      </c>
      <c r="Q7" s="2" t="s">
        <v>40</v>
      </c>
      <c r="R7" s="2" t="s">
        <v>41</v>
      </c>
      <c r="S7" s="4">
        <v>46283</v>
      </c>
    </row>
    <row r="8" spans="1:19" ht="16.5">
      <c r="A8" s="6" t="s">
        <v>42</v>
      </c>
      <c r="B8" s="6" t="s">
        <v>30</v>
      </c>
      <c r="C8" s="6" t="s">
        <v>43</v>
      </c>
      <c r="D8" s="6" t="s">
        <v>32</v>
      </c>
      <c r="E8" s="6" t="s">
        <v>21</v>
      </c>
      <c r="F8" s="7">
        <v>0.9</v>
      </c>
      <c r="G8" s="6" t="s">
        <v>39</v>
      </c>
      <c r="H8" s="8">
        <v>46283</v>
      </c>
      <c r="I8" s="8">
        <v>46283</v>
      </c>
      <c r="J8" s="8">
        <v>46286</v>
      </c>
      <c r="K8" s="6">
        <f t="shared" si="0"/>
        <v>3</v>
      </c>
      <c r="L8" s="6">
        <f t="shared" si="1"/>
        <v>3</v>
      </c>
      <c r="M8" s="6" t="s">
        <v>26</v>
      </c>
      <c r="N8" s="9">
        <v>70</v>
      </c>
      <c r="O8" s="9">
        <v>72</v>
      </c>
      <c r="P8" s="9">
        <f t="shared" si="2"/>
        <v>2</v>
      </c>
      <c r="Q8" s="6" t="s">
        <v>44</v>
      </c>
      <c r="R8" s="6" t="s">
        <v>45</v>
      </c>
      <c r="S8" s="8">
        <v>46283</v>
      </c>
    </row>
    <row r="9" spans="1:19" ht="16.5">
      <c r="A9" s="2" t="s">
        <v>46</v>
      </c>
      <c r="B9" s="2" t="s">
        <v>30</v>
      </c>
      <c r="C9" s="2" t="s">
        <v>47</v>
      </c>
      <c r="D9" s="2" t="s">
        <v>48</v>
      </c>
      <c r="E9" s="2" t="s">
        <v>49</v>
      </c>
      <c r="F9" s="3">
        <v>0.4</v>
      </c>
      <c r="G9" s="2" t="s">
        <v>39</v>
      </c>
      <c r="H9" s="4">
        <v>46285</v>
      </c>
      <c r="I9" s="4">
        <v>46286</v>
      </c>
      <c r="J9" s="4">
        <v>46289</v>
      </c>
      <c r="K9" s="2">
        <f t="shared" si="0"/>
        <v>4</v>
      </c>
      <c r="L9" s="2">
        <f t="shared" si="1"/>
        <v>3</v>
      </c>
      <c r="M9" s="2" t="s">
        <v>26</v>
      </c>
      <c r="N9" s="5">
        <v>42</v>
      </c>
      <c r="O9" s="5">
        <v>35</v>
      </c>
      <c r="P9" s="5">
        <f t="shared" si="2"/>
        <v>-7</v>
      </c>
      <c r="Q9" s="2" t="s">
        <v>40</v>
      </c>
      <c r="R9" s="2" t="s">
        <v>50</v>
      </c>
      <c r="S9" s="4">
        <v>46283</v>
      </c>
    </row>
    <row r="10" spans="1:19" ht="16.5">
      <c r="A10" s="6" t="s">
        <v>51</v>
      </c>
      <c r="B10" s="6" t="s">
        <v>30</v>
      </c>
      <c r="C10" s="6" t="s">
        <v>52</v>
      </c>
      <c r="D10" s="6" t="s">
        <v>53</v>
      </c>
      <c r="E10" s="6" t="s">
        <v>46</v>
      </c>
      <c r="F10" s="7">
        <v>0</v>
      </c>
      <c r="G10" s="6" t="s">
        <v>54</v>
      </c>
      <c r="H10" s="8">
        <v>46288</v>
      </c>
      <c r="I10" s="8">
        <v>46289</v>
      </c>
      <c r="J10" s="8">
        <v>46292</v>
      </c>
      <c r="K10" s="6">
        <f t="shared" si="0"/>
        <v>4</v>
      </c>
      <c r="L10" s="6">
        <f t="shared" si="1"/>
        <v>3</v>
      </c>
      <c r="M10" s="6" t="s">
        <v>26</v>
      </c>
      <c r="N10" s="9">
        <v>38</v>
      </c>
      <c r="O10" s="9">
        <v>0</v>
      </c>
      <c r="P10" s="9">
        <f t="shared" si="2"/>
        <v>-38</v>
      </c>
      <c r="Q10" s="6" t="s">
        <v>40</v>
      </c>
      <c r="R10" s="6" t="s">
        <v>55</v>
      </c>
      <c r="S10" s="8">
        <v>46283</v>
      </c>
    </row>
    <row r="11" spans="1:19" ht="16.5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21</v>
      </c>
      <c r="F11" s="3">
        <v>0.55000000000000004</v>
      </c>
      <c r="G11" s="2" t="s">
        <v>39</v>
      </c>
      <c r="H11" s="4">
        <v>46289</v>
      </c>
      <c r="I11" s="4">
        <v>46289</v>
      </c>
      <c r="J11" s="4">
        <v>46289</v>
      </c>
      <c r="K11" s="2">
        <f t="shared" si="0"/>
        <v>0</v>
      </c>
      <c r="L11" s="2">
        <f t="shared" si="1"/>
        <v>0</v>
      </c>
      <c r="M11" s="2" t="s">
        <v>33</v>
      </c>
      <c r="N11" s="5">
        <v>22</v>
      </c>
      <c r="O11" s="5">
        <v>13</v>
      </c>
      <c r="P11" s="5">
        <f t="shared" si="2"/>
        <v>-9</v>
      </c>
      <c r="Q11" s="2" t="s">
        <v>60</v>
      </c>
      <c r="R11" s="2" t="s">
        <v>61</v>
      </c>
      <c r="S11" s="4">
        <v>46283</v>
      </c>
    </row>
    <row r="12" spans="1:19" ht="16.5">
      <c r="A12" s="6" t="s">
        <v>62</v>
      </c>
      <c r="B12" s="6" t="s">
        <v>57</v>
      </c>
      <c r="C12" s="6" t="s">
        <v>63</v>
      </c>
      <c r="D12" s="6" t="s">
        <v>64</v>
      </c>
      <c r="E12" s="6" t="s">
        <v>65</v>
      </c>
      <c r="F12" s="7">
        <v>0.6</v>
      </c>
      <c r="G12" s="6" t="s">
        <v>39</v>
      </c>
      <c r="H12" s="8">
        <v>46287</v>
      </c>
      <c r="I12" s="8">
        <v>46287</v>
      </c>
      <c r="J12" s="8">
        <v>46288</v>
      </c>
      <c r="K12" s="6">
        <f t="shared" si="0"/>
        <v>1</v>
      </c>
      <c r="L12" s="6">
        <f t="shared" si="1"/>
        <v>1</v>
      </c>
      <c r="M12" s="6" t="s">
        <v>33</v>
      </c>
      <c r="N12" s="9">
        <v>28</v>
      </c>
      <c r="O12" s="9">
        <v>20</v>
      </c>
      <c r="P12" s="9">
        <f t="shared" si="2"/>
        <v>-8</v>
      </c>
      <c r="Q12" s="6" t="s">
        <v>66</v>
      </c>
      <c r="R12" s="6" t="s">
        <v>67</v>
      </c>
      <c r="S12" s="8">
        <v>46283</v>
      </c>
    </row>
    <row r="13" spans="1:19" ht="16.5">
      <c r="A13" s="2" t="s">
        <v>68</v>
      </c>
      <c r="B13" s="2" t="s">
        <v>57</v>
      </c>
      <c r="C13" s="2" t="s">
        <v>69</v>
      </c>
      <c r="D13" s="2" t="s">
        <v>59</v>
      </c>
      <c r="E13" s="2" t="s">
        <v>70</v>
      </c>
      <c r="F13" s="3">
        <v>0</v>
      </c>
      <c r="G13" s="2" t="s">
        <v>54</v>
      </c>
      <c r="H13" s="4">
        <v>46291</v>
      </c>
      <c r="I13" s="4">
        <v>46292</v>
      </c>
      <c r="J13" s="4">
        <v>46295</v>
      </c>
      <c r="K13" s="2">
        <f t="shared" si="0"/>
        <v>4</v>
      </c>
      <c r="L13" s="2">
        <f t="shared" si="1"/>
        <v>3</v>
      </c>
      <c r="M13" s="2" t="s">
        <v>26</v>
      </c>
      <c r="N13" s="5">
        <v>40</v>
      </c>
      <c r="O13" s="5">
        <v>0</v>
      </c>
      <c r="P13" s="5">
        <f t="shared" si="2"/>
        <v>-40</v>
      </c>
      <c r="Q13" s="2" t="s">
        <v>60</v>
      </c>
      <c r="R13" s="2" t="s">
        <v>71</v>
      </c>
      <c r="S13" s="4">
        <v>46283</v>
      </c>
    </row>
    <row r="14" spans="1:19" ht="16.5">
      <c r="A14" s="6" t="s">
        <v>72</v>
      </c>
      <c r="B14" s="6" t="s">
        <v>57</v>
      </c>
      <c r="C14" s="6" t="s">
        <v>73</v>
      </c>
      <c r="D14" s="6" t="s">
        <v>74</v>
      </c>
      <c r="E14" s="6" t="s">
        <v>68</v>
      </c>
      <c r="F14" s="7">
        <v>0</v>
      </c>
      <c r="G14" s="6" t="s">
        <v>54</v>
      </c>
      <c r="H14" s="8">
        <v>46295</v>
      </c>
      <c r="I14" s="8">
        <v>46296</v>
      </c>
      <c r="J14" s="8">
        <v>46298</v>
      </c>
      <c r="K14" s="6">
        <f t="shared" si="0"/>
        <v>3</v>
      </c>
      <c r="L14" s="6">
        <f t="shared" si="1"/>
        <v>2</v>
      </c>
      <c r="M14" s="6" t="s">
        <v>26</v>
      </c>
      <c r="N14" s="9">
        <v>30</v>
      </c>
      <c r="O14" s="9">
        <v>0</v>
      </c>
      <c r="P14" s="9">
        <f t="shared" si="2"/>
        <v>-30</v>
      </c>
      <c r="Q14" s="6" t="s">
        <v>60</v>
      </c>
      <c r="R14" s="6" t="s">
        <v>75</v>
      </c>
      <c r="S14" s="8">
        <v>46283</v>
      </c>
    </row>
  </sheetData>
  <autoFilter ref="A4:S14" xr:uid="{00000000-0009-0000-0000-000000000000}"/>
  <mergeCells count="2">
    <mergeCell ref="A2:S2"/>
    <mergeCell ref="A1:S1"/>
  </mergeCells>
  <phoneticPr fontId="6" type="noConversion"/>
  <conditionalFormatting sqref="K5:K50">
    <cfRule type="cellIs" dxfId="2" priority="1" operator="greaterThan">
      <formula>5</formula>
    </cfRule>
    <cfRule type="cellIs" dxfId="1" priority="2" operator="between">
      <formula>3</formula>
      <formula>5</formula>
    </cfRule>
  </conditionalFormatting>
  <conditionalFormatting sqref="M5:M50">
    <cfRule type="expression" dxfId="0" priority="3">
      <formula>AND($M5="是",$K5&gt;0)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>
      <pane ySplit="4" topLeftCell="A5" activePane="bottomLeft" state="frozen"/>
      <selection pane="bottomLeft"/>
    </sheetView>
  </sheetViews>
  <sheetFormatPr defaultRowHeight="13.5"/>
  <cols>
    <col min="1" max="1" width="24" customWidth="1"/>
    <col min="2" max="2" width="76" customWidth="1"/>
  </cols>
  <sheetData>
    <row r="1" spans="1:2" ht="24.75">
      <c r="A1" s="16" t="s">
        <v>76</v>
      </c>
      <c r="B1" s="13"/>
    </row>
    <row r="2" spans="1:2" ht="16.5">
      <c r="A2" s="15" t="s">
        <v>1</v>
      </c>
      <c r="B2" s="13"/>
    </row>
    <row r="4" spans="1:2" ht="16.5">
      <c r="A4" s="10" t="s">
        <v>77</v>
      </c>
      <c r="B4" s="10" t="s">
        <v>78</v>
      </c>
    </row>
    <row r="5" spans="1:2" ht="16.5">
      <c r="A5" s="11" t="s">
        <v>2</v>
      </c>
      <c r="B5" s="11" t="s">
        <v>79</v>
      </c>
    </row>
    <row r="6" spans="1:2" ht="16.5">
      <c r="A6" s="11" t="s">
        <v>6</v>
      </c>
      <c r="B6" s="11" t="s">
        <v>80</v>
      </c>
    </row>
    <row r="7" spans="1:2" ht="16.5">
      <c r="A7" s="11" t="s">
        <v>12</v>
      </c>
      <c r="B7" s="11" t="s">
        <v>81</v>
      </c>
    </row>
    <row r="8" spans="1:2" ht="16.5">
      <c r="A8" s="11" t="s">
        <v>13</v>
      </c>
      <c r="B8" s="11" t="s">
        <v>82</v>
      </c>
    </row>
    <row r="9" spans="1:2" ht="16.5">
      <c r="A9" s="11" t="s">
        <v>14</v>
      </c>
      <c r="B9" s="11" t="s">
        <v>83</v>
      </c>
    </row>
  </sheetData>
  <mergeCells count="2">
    <mergeCell ref="A2:B2"/>
    <mergeCell ref="A1:B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jiagui li</cp:lastModifiedBy>
  <dcterms:created xsi:type="dcterms:W3CDTF">2026-08-28T01:40:57Z</dcterms:created>
  <dcterms:modified xsi:type="dcterms:W3CDTF">2026-08-28T01:41:59Z</dcterms:modified>
</cp:coreProperties>
</file>