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xjtul\AppData\Local\Temp\case-a-excel-e1c5a56ede3b4d4d91e73a09db7c19da\"/>
    </mc:Choice>
  </mc:AlternateContent>
  <xr:revisionPtr revIDLastSave="0" documentId="13_ncr:1_{885B317B-D3A0-4964-A17E-FEDBABE582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数据" sheetId="1" r:id="rId1"/>
    <sheet name="字段说明" sheetId="2" r:id="rId2"/>
  </sheets>
  <definedNames>
    <definedName name="_xlnm._FilterDatabase" localSheetId="0" hidden="1">数据!$A$4:$N$7</definedName>
  </definedNames>
  <calcPr calcId="181029" forceFullCalc="1"/>
</workbook>
</file>

<file path=xl/calcChain.xml><?xml version="1.0" encoding="utf-8"?>
<calcChain xmlns="http://schemas.openxmlformats.org/spreadsheetml/2006/main">
  <c r="L7" i="1" l="1"/>
  <c r="L6" i="1"/>
  <c r="L5" i="1"/>
</calcChain>
</file>

<file path=xl/sharedStrings.xml><?xml version="1.0" encoding="utf-8"?>
<sst xmlns="http://schemas.openxmlformats.org/spreadsheetml/2006/main" count="46" uniqueCount="38">
  <si>
    <t>新品酸奶90天上市项目｜项目表</t>
  </si>
  <si>
    <t>课堂模拟数据｜数据日期：2026-09-18｜不对应任何真实企业、品牌、人员或经营数据。 金额单位：万元。</t>
  </si>
  <si>
    <t>项目ID</t>
  </si>
  <si>
    <t>目标ID</t>
  </si>
  <si>
    <t>项目名称</t>
  </si>
  <si>
    <t>负责人</t>
  </si>
  <si>
    <t>开始日期</t>
  </si>
  <si>
    <t>计划完成日期</t>
  </si>
  <si>
    <t>预测完成日期</t>
  </si>
  <si>
    <t>状态</t>
  </si>
  <si>
    <t>完成度</t>
  </si>
  <si>
    <t>预算</t>
  </si>
  <si>
    <t>实际支出</t>
  </si>
  <si>
    <t>预算使用率</t>
  </si>
  <si>
    <t>关键说明</t>
  </si>
  <si>
    <t>数据日期</t>
  </si>
  <si>
    <t>P01</t>
  </si>
  <si>
    <t>G01</t>
  </si>
  <si>
    <t>产品研发与定型</t>
  </si>
  <si>
    <t>研发负责人</t>
  </si>
  <si>
    <t>已完成</t>
  </si>
  <si>
    <t>配方和产品卖点已冻结</t>
  </si>
  <si>
    <t>P02</t>
  </si>
  <si>
    <t>产线与供应链准备</t>
  </si>
  <si>
    <t>生产供应链负责人</t>
  </si>
  <si>
    <t>推进中</t>
  </si>
  <si>
    <t>试产与量产验收是上市关键路径</t>
  </si>
  <si>
    <t>P03</t>
  </si>
  <si>
    <t>上市营销与渠道铺货</t>
  </si>
  <si>
    <t>市场渠道负责人</t>
  </si>
  <si>
    <t>首批铺货依赖量产验收</t>
  </si>
  <si>
    <t>项目表.xlsx</t>
  </si>
  <si>
    <t>字段</t>
  </si>
  <si>
    <t>说明</t>
  </si>
  <si>
    <t>跨表关联主键；任务表通过项目ID归属项目。</t>
  </si>
  <si>
    <t>本项目服务的业务目标。</t>
  </si>
  <si>
    <t>基于当前异常更新的最新预测。</t>
  </si>
  <si>
    <t>实际支出÷预算，公式计算。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</si>
</sst>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yyyy\-mm\-dd"/>
    <numFmt numFmtId="178" formatCode="0.0%"/>
    <numFmt numFmtId="179" formatCode="#,##0.0&quot;万元&quot;"/>
  </numFmts>
  <fonts count="7">
    <font>
      <sz val="11"/>
      <color theme="1"/>
      <name val="宋体"/>
      <family val="2"/>
      <scheme val="minor"/>
    </font>
    <font>
      <b/>
      <sz val="18"/>
      <color rgb="FFFFFFFF"/>
      <name val="Microsoft YaHei"/>
      <family val="2"/>
      <charset val="134"/>
    </font>
    <font>
      <i/>
      <sz val="10"/>
      <color rgb="FF5B6573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1F2937"/>
      <name val="Microsoft YaHei"/>
      <family val="2"/>
      <charset val="134"/>
    </font>
    <font>
      <sz val="10"/>
      <color rgb="FF5B6573"/>
      <name val="Microsoft YaHei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1F4E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177" fontId="4" fillId="5" borderId="1" xfId="0" applyNumberFormat="1" applyFont="1" applyFill="1" applyBorder="1" applyAlignment="1">
      <alignment horizontal="center" vertical="top"/>
    </xf>
    <xf numFmtId="178" fontId="4" fillId="5" borderId="1" xfId="0" applyNumberFormat="1" applyFont="1" applyFill="1" applyBorder="1" applyAlignment="1">
      <alignment horizontal="right" vertical="top"/>
    </xf>
    <xf numFmtId="179" fontId="4" fillId="5" borderId="1" xfId="0" applyNumberFormat="1" applyFont="1" applyFill="1" applyBorder="1" applyAlignment="1">
      <alignment horizontal="right" vertical="top"/>
    </xf>
    <xf numFmtId="0" fontId="4" fillId="3" borderId="1" xfId="0" applyFont="1" applyFill="1" applyBorder="1" applyAlignment="1">
      <alignment vertical="top" wrapText="1"/>
    </xf>
    <xf numFmtId="177" fontId="4" fillId="3" borderId="1" xfId="0" applyNumberFormat="1" applyFont="1" applyFill="1" applyBorder="1" applyAlignment="1">
      <alignment horizontal="center" vertical="top"/>
    </xf>
    <xf numFmtId="178" fontId="4" fillId="3" borderId="1" xfId="0" applyNumberFormat="1" applyFont="1" applyFill="1" applyBorder="1" applyAlignment="1">
      <alignment horizontal="right" vertical="top"/>
    </xf>
    <xf numFmtId="179" fontId="4" fillId="3" borderId="1" xfId="0" applyNumberFormat="1" applyFont="1" applyFill="1" applyBorder="1" applyAlignment="1">
      <alignment horizontal="right" vertical="top"/>
    </xf>
    <xf numFmtId="0" fontId="3" fillId="4" borderId="0" xfId="0" applyFont="1" applyFill="1" applyAlignment="1">
      <alignment vertical="center"/>
    </xf>
    <xf numFmtId="0" fontId="4" fillId="0" borderId="1" xfId="0" applyFont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5" fillId="0" borderId="0" xfId="0" applyFont="1"/>
    <xf numFmtId="0" fontId="1" fillId="2" borderId="0" xfId="0" applyFont="1" applyFill="1"/>
  </cellXfs>
  <cellStyles count="1">
    <cellStyle name="常规" xfId="0" builtinId="0"/>
  </cellStyles>
  <dxfs count="1">
    <dxf>
      <fill>
        <patternFill patternType="solid">
          <fgColor rgb="FFF4B18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showGridLines="0" tabSelected="1" workbookViewId="0">
      <pane ySplit="4" topLeftCell="A5" activePane="bottomLeft" state="frozen"/>
      <selection pane="bottomLeft" sqref="A1:N1"/>
    </sheetView>
  </sheetViews>
  <sheetFormatPr defaultRowHeight="13.5" outlineLevelRow="1"/>
  <cols>
    <col min="1" max="2" width="12" customWidth="1"/>
    <col min="3" max="3" width="24" customWidth="1"/>
    <col min="4" max="4" width="20" customWidth="1"/>
    <col min="5" max="5" width="13" customWidth="1"/>
    <col min="6" max="7" width="14" customWidth="1"/>
    <col min="8" max="11" width="12" customWidth="1"/>
    <col min="12" max="12" width="14" customWidth="1"/>
    <col min="13" max="13" width="28" customWidth="1"/>
    <col min="14" max="14" width="13" customWidth="1"/>
  </cols>
  <sheetData>
    <row r="1" spans="1:14" ht="30" customHeight="1" outlineLevel="1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32.1" customHeight="1" outlineLevel="1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32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16.5">
      <c r="A5" s="2" t="s">
        <v>16</v>
      </c>
      <c r="B5" s="2" t="s">
        <v>17</v>
      </c>
      <c r="C5" s="2" t="s">
        <v>18</v>
      </c>
      <c r="D5" s="2" t="s">
        <v>19</v>
      </c>
      <c r="E5" s="3">
        <v>46206</v>
      </c>
      <c r="F5" s="3">
        <v>46275</v>
      </c>
      <c r="G5" s="3">
        <v>46275</v>
      </c>
      <c r="H5" s="2" t="s">
        <v>20</v>
      </c>
      <c r="I5" s="4">
        <v>1</v>
      </c>
      <c r="J5" s="5">
        <v>120</v>
      </c>
      <c r="K5" s="5">
        <v>112</v>
      </c>
      <c r="L5" s="4">
        <f>IFERROR(K5/J5,0)</f>
        <v>0.93333333333333335</v>
      </c>
      <c r="M5" s="2" t="s">
        <v>21</v>
      </c>
      <c r="N5" s="3">
        <v>46283</v>
      </c>
    </row>
    <row r="6" spans="1:14" ht="16.5">
      <c r="A6" s="6" t="s">
        <v>22</v>
      </c>
      <c r="B6" s="6" t="s">
        <v>17</v>
      </c>
      <c r="C6" s="6" t="s">
        <v>23</v>
      </c>
      <c r="D6" s="6" t="s">
        <v>24</v>
      </c>
      <c r="E6" s="7">
        <v>46218</v>
      </c>
      <c r="F6" s="7">
        <v>46289</v>
      </c>
      <c r="G6" s="7">
        <v>46293</v>
      </c>
      <c r="H6" s="6" t="s">
        <v>25</v>
      </c>
      <c r="I6" s="8">
        <v>0.68</v>
      </c>
      <c r="J6" s="9">
        <v>260</v>
      </c>
      <c r="K6" s="9">
        <v>238</v>
      </c>
      <c r="L6" s="8">
        <f>IFERROR(K6/J6,0)</f>
        <v>0.91538461538461535</v>
      </c>
      <c r="M6" s="6" t="s">
        <v>26</v>
      </c>
      <c r="N6" s="7">
        <v>46283</v>
      </c>
    </row>
    <row r="7" spans="1:14" ht="16.5">
      <c r="A7" s="2" t="s">
        <v>27</v>
      </c>
      <c r="B7" s="2" t="s">
        <v>17</v>
      </c>
      <c r="C7" s="2" t="s">
        <v>28</v>
      </c>
      <c r="D7" s="2" t="s">
        <v>29</v>
      </c>
      <c r="E7" s="3">
        <v>46244</v>
      </c>
      <c r="F7" s="3">
        <v>46294</v>
      </c>
      <c r="G7" s="3">
        <v>46296</v>
      </c>
      <c r="H7" s="2" t="s">
        <v>25</v>
      </c>
      <c r="I7" s="4">
        <v>0.56999999999999995</v>
      </c>
      <c r="J7" s="5">
        <v>120</v>
      </c>
      <c r="K7" s="5">
        <v>72</v>
      </c>
      <c r="L7" s="4">
        <f>IFERROR(K7/J7,0)</f>
        <v>0.6</v>
      </c>
      <c r="M7" s="2" t="s">
        <v>30</v>
      </c>
      <c r="N7" s="3">
        <v>46283</v>
      </c>
    </row>
  </sheetData>
  <autoFilter ref="A4:N7" xr:uid="{00000000-0009-0000-0000-000000000000}"/>
  <mergeCells count="2">
    <mergeCell ref="A2:N2"/>
    <mergeCell ref="A1:N1"/>
  </mergeCells>
  <phoneticPr fontId="6" type="noConversion"/>
  <conditionalFormatting sqref="L5:L30">
    <cfRule type="cellIs" dxfId="0" priority="1" operator="greaterThan">
      <formula>0.9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>
      <pane ySplit="4" topLeftCell="A5" activePane="bottomLeft" state="frozen"/>
      <selection pane="bottomLeft"/>
    </sheetView>
  </sheetViews>
  <sheetFormatPr defaultRowHeight="13.5"/>
  <cols>
    <col min="1" max="1" width="24" customWidth="1"/>
    <col min="2" max="2" width="76" customWidth="1"/>
  </cols>
  <sheetData>
    <row r="1" spans="1:2" ht="24.75">
      <c r="A1" s="16" t="s">
        <v>31</v>
      </c>
      <c r="B1" s="13"/>
    </row>
    <row r="2" spans="1:2" ht="16.5">
      <c r="A2" s="15" t="s">
        <v>1</v>
      </c>
      <c r="B2" s="13"/>
    </row>
    <row r="4" spans="1:2" ht="16.5">
      <c r="A4" s="10" t="s">
        <v>32</v>
      </c>
      <c r="B4" s="10" t="s">
        <v>33</v>
      </c>
    </row>
    <row r="5" spans="1:2" ht="16.5">
      <c r="A5" s="11" t="s">
        <v>2</v>
      </c>
      <c r="B5" s="11" t="s">
        <v>34</v>
      </c>
    </row>
    <row r="6" spans="1:2" ht="16.5">
      <c r="A6" s="11" t="s">
        <v>3</v>
      </c>
      <c r="B6" s="11" t="s">
        <v>35</v>
      </c>
    </row>
    <row r="7" spans="1:2" ht="16.5">
      <c r="A7" s="11" t="s">
        <v>8</v>
      </c>
      <c r="B7" s="11" t="s">
        <v>36</v>
      </c>
    </row>
    <row r="8" spans="1:2" ht="16.5">
      <c r="A8" s="11" t="s">
        <v>13</v>
      </c>
      <c r="B8" s="11" t="s">
        <v>37</v>
      </c>
    </row>
  </sheetData>
  <mergeCells count="2">
    <mergeCell ref="A2:B2"/>
    <mergeCell ref="A1:B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jiagui li</cp:lastModifiedBy>
  <dcterms:created xsi:type="dcterms:W3CDTF">2026-08-28T01:40:57Z</dcterms:created>
  <dcterms:modified xsi:type="dcterms:W3CDTF">2026-08-28T01:42:03Z</dcterms:modified>
</cp:coreProperties>
</file>