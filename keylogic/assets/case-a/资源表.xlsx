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xjtul\AppData\Local\Temp\case-a-excel-e1c5a56ede3b4d4d91e73a09db7c19da\"/>
    </mc:Choice>
  </mc:AlternateContent>
  <xr:revisionPtr revIDLastSave="0" documentId="13_ncr:1_{2CB40D44-16CC-437A-B990-CB4B79DFC6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数据" sheetId="1" r:id="rId1"/>
    <sheet name="字段说明" sheetId="2" r:id="rId2"/>
  </sheets>
  <definedNames>
    <definedName name="_xlnm._FilterDatabase" localSheetId="0" hidden="1">数据!$A$4:$L$10</definedName>
  </definedNames>
  <calcPr calcId="181029" forceFullCalc="1"/>
</workbook>
</file>

<file path=xl/calcChain.xml><?xml version="1.0" encoding="utf-8"?>
<calcChain xmlns="http://schemas.openxmlformats.org/spreadsheetml/2006/main">
  <c r="H10" i="1" l="1"/>
  <c r="H9" i="1"/>
  <c r="H8" i="1"/>
  <c r="H7" i="1"/>
  <c r="H6" i="1"/>
  <c r="H5" i="1"/>
</calcChain>
</file>

<file path=xl/sharedStrings.xml><?xml version="1.0" encoding="utf-8"?>
<sst xmlns="http://schemas.openxmlformats.org/spreadsheetml/2006/main" count="74" uniqueCount="57">
  <si>
    <t>新品酸奶90天上市项目｜资源表</t>
  </si>
  <si>
    <t>课堂模拟数据｜数据日期：2026-09-18｜不对应任何真实企业、品牌、人员或经营数据。 工时单位：小时。</t>
  </si>
  <si>
    <t>资源ID</t>
  </si>
  <si>
    <t>资源类型</t>
  </si>
  <si>
    <t>资源名称</t>
  </si>
  <si>
    <t>负责人</t>
  </si>
  <si>
    <t>是否核心资源</t>
  </si>
  <si>
    <t>可用工时</t>
  </si>
  <si>
    <t>已分配工时</t>
  </si>
  <si>
    <t>使用率</t>
  </si>
  <si>
    <t>关联任务ID</t>
  </si>
  <si>
    <t>当前约束</t>
  </si>
  <si>
    <t>状态</t>
  </si>
  <si>
    <t>数据日期</t>
  </si>
  <si>
    <t>R01</t>
  </si>
  <si>
    <t>设备</t>
  </si>
  <si>
    <t>生产线2号线</t>
  </si>
  <si>
    <t>生产经理</t>
  </si>
  <si>
    <t>是</t>
  </si>
  <si>
    <t>T03,T05,T06</t>
  </si>
  <si>
    <t>受其他排产挤占；9月23日晚班后可恢复完整窗口</t>
  </si>
  <si>
    <t>紧张</t>
  </si>
  <si>
    <t>R02</t>
  </si>
  <si>
    <t>人员</t>
  </si>
  <si>
    <t>工艺工程师王工</t>
  </si>
  <si>
    <t>T01,T03,T05,T06</t>
  </si>
  <si>
    <t>同时负责设备参数、试产问题和良率改善</t>
  </si>
  <si>
    <t>R03</t>
  </si>
  <si>
    <t>供应商</t>
  </si>
  <si>
    <t>包材供应商</t>
  </si>
  <si>
    <t>采购经理</t>
  </si>
  <si>
    <t>否</t>
  </si>
  <si>
    <t>T02,T08</t>
  </si>
  <si>
    <t>首批确认完成；批量交付需继续抽检</t>
  </si>
  <si>
    <t>正常</t>
  </si>
  <si>
    <t>R04</t>
  </si>
  <si>
    <t>核心原料供应商A</t>
  </si>
  <si>
    <t>T04</t>
  </si>
  <si>
    <t>预计延期3天；最新承诺到货2026-09-21</t>
  </si>
  <si>
    <t>延期</t>
  </si>
  <si>
    <t>R05</t>
  </si>
  <si>
    <t>备选原料供应商B</t>
  </si>
  <si>
    <t>质量与商务审批未完成，最短交期仍待确认</t>
  </si>
  <si>
    <t>待确认</t>
  </si>
  <si>
    <t>R06</t>
  </si>
  <si>
    <t>团队</t>
  </si>
  <si>
    <t>渠道团队</t>
  </si>
  <si>
    <t>渠道负责人</t>
  </si>
  <si>
    <t>T07,T08,T09,T10</t>
  </si>
  <si>
    <t>铺货窗口需提前7天确认</t>
  </si>
  <si>
    <t>资源表.xlsx</t>
  </si>
  <si>
    <t>字段</t>
  </si>
  <si>
    <t>说明</t>
  </si>
  <si>
    <t>跨表关联主键；任务表通过资源ID引用资源。</t>
  </si>
  <si>
    <t>已分配工时÷可用工时，公式计算。</t>
  </si>
  <si>
    <t>多个任务用英文逗号分隔，用于横向影响分析。</t>
  </si>
  <si>
    <t>资源可用性、审批或交付限制。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</si>
</sst>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8" formatCode="yyyy\-mm\-dd"/>
  </numFmts>
  <fonts count="7">
    <font>
      <sz val="11"/>
      <color theme="1"/>
      <name val="宋体"/>
      <family val="2"/>
      <scheme val="minor"/>
    </font>
    <font>
      <b/>
      <sz val="18"/>
      <color rgb="FFFFFFFF"/>
      <name val="Microsoft YaHei"/>
      <family val="2"/>
      <charset val="134"/>
    </font>
    <font>
      <i/>
      <sz val="10"/>
      <color rgb="FF5B6573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0"/>
      <color rgb="FF1F2937"/>
      <name val="Microsoft YaHei"/>
      <family val="2"/>
      <charset val="134"/>
    </font>
    <font>
      <sz val="10"/>
      <color rgb="FF5B6573"/>
      <name val="Microsoft YaHei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EF5FB"/>
      </patternFill>
    </fill>
    <fill>
      <patternFill patternType="solid">
        <fgColor rgb="FF1F4E7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DEE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176" fontId="4" fillId="5" borderId="1" xfId="0" applyNumberFormat="1" applyFont="1" applyFill="1" applyBorder="1" applyAlignment="1">
      <alignment horizontal="right" vertical="top"/>
    </xf>
    <xf numFmtId="178" fontId="4" fillId="5" borderId="1" xfId="0" applyNumberFormat="1" applyFont="1" applyFill="1" applyBorder="1" applyAlignment="1">
      <alignment horizontal="center" vertical="top"/>
    </xf>
    <xf numFmtId="0" fontId="4" fillId="3" borderId="1" xfId="0" applyFont="1" applyFill="1" applyBorder="1" applyAlignment="1">
      <alignment vertical="top" wrapText="1"/>
    </xf>
    <xf numFmtId="176" fontId="4" fillId="3" borderId="1" xfId="0" applyNumberFormat="1" applyFont="1" applyFill="1" applyBorder="1" applyAlignment="1">
      <alignment horizontal="right" vertical="top"/>
    </xf>
    <xf numFmtId="178" fontId="4" fillId="3" borderId="1" xfId="0" applyNumberFormat="1" applyFont="1" applyFill="1" applyBorder="1" applyAlignment="1">
      <alignment horizontal="center" vertical="top"/>
    </xf>
    <xf numFmtId="0" fontId="3" fillId="4" borderId="0" xfId="0" applyFont="1" applyFill="1" applyAlignment="1">
      <alignment vertical="center"/>
    </xf>
    <xf numFmtId="0" fontId="4" fillId="0" borderId="1" xfId="0" applyFont="1" applyBorder="1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/>
    </xf>
    <xf numFmtId="0" fontId="5" fillId="0" borderId="0" xfId="0" applyFont="1"/>
    <xf numFmtId="0" fontId="1" fillId="2" borderId="0" xfId="0" applyFont="1" applyFill="1"/>
  </cellXfs>
  <cellStyles count="1">
    <cellStyle name="常规" xfId="0" builtinId="0"/>
  </cellStyles>
  <dxfs count="1">
    <dxf>
      <fill>
        <patternFill patternType="solid">
          <fgColor rgb="FFF4B18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showGridLines="0" tabSelected="1" workbookViewId="0">
      <pane ySplit="4" topLeftCell="A5" activePane="bottomLeft" state="frozen"/>
      <selection pane="bottomLeft" sqref="A1:L1"/>
    </sheetView>
  </sheetViews>
  <sheetFormatPr defaultRowHeight="13.5" outlineLevelRow="1"/>
  <cols>
    <col min="1" max="1" width="11" customWidth="1"/>
    <col min="2" max="2" width="12" customWidth="1"/>
    <col min="3" max="3" width="24" customWidth="1"/>
    <col min="4" max="5" width="16" customWidth="1"/>
    <col min="6" max="6" width="12" customWidth="1"/>
    <col min="7" max="7" width="13" customWidth="1"/>
    <col min="8" max="8" width="12" customWidth="1"/>
    <col min="9" max="9" width="20" customWidth="1"/>
    <col min="10" max="10" width="38" customWidth="1"/>
    <col min="11" max="11" width="12" customWidth="1"/>
    <col min="12" max="12" width="13" customWidth="1"/>
  </cols>
  <sheetData>
    <row r="1" spans="1:12" ht="30" customHeight="1" outlineLevel="1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32.1" customHeight="1" outlineLevel="1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ht="32.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16.5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>
        <v>120</v>
      </c>
      <c r="G5" s="2">
        <v>116</v>
      </c>
      <c r="H5" s="3">
        <f t="shared" ref="H5:H10" si="0">IFERROR(G5/F5,0)</f>
        <v>0.96666666666666667</v>
      </c>
      <c r="I5" s="2" t="s">
        <v>19</v>
      </c>
      <c r="J5" s="2" t="s">
        <v>20</v>
      </c>
      <c r="K5" s="2" t="s">
        <v>21</v>
      </c>
      <c r="L5" s="4">
        <v>46283</v>
      </c>
    </row>
    <row r="6" spans="1:12" ht="16.5">
      <c r="A6" s="5" t="s">
        <v>22</v>
      </c>
      <c r="B6" s="5" t="s">
        <v>23</v>
      </c>
      <c r="C6" s="5" t="s">
        <v>24</v>
      </c>
      <c r="D6" s="5" t="s">
        <v>17</v>
      </c>
      <c r="E6" s="5" t="s">
        <v>18</v>
      </c>
      <c r="F6" s="5">
        <v>80</v>
      </c>
      <c r="G6" s="5">
        <v>76</v>
      </c>
      <c r="H6" s="6">
        <f t="shared" si="0"/>
        <v>0.95</v>
      </c>
      <c r="I6" s="5" t="s">
        <v>25</v>
      </c>
      <c r="J6" s="5" t="s">
        <v>26</v>
      </c>
      <c r="K6" s="5" t="s">
        <v>21</v>
      </c>
      <c r="L6" s="7">
        <v>46283</v>
      </c>
    </row>
    <row r="7" spans="1:12" ht="16.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>
        <v>80</v>
      </c>
      <c r="G7" s="2">
        <v>58</v>
      </c>
      <c r="H7" s="3">
        <f t="shared" si="0"/>
        <v>0.72499999999999998</v>
      </c>
      <c r="I7" s="2" t="s">
        <v>32</v>
      </c>
      <c r="J7" s="2" t="s">
        <v>33</v>
      </c>
      <c r="K7" s="2" t="s">
        <v>34</v>
      </c>
      <c r="L7" s="4">
        <v>46283</v>
      </c>
    </row>
    <row r="8" spans="1:12" ht="16.5">
      <c r="A8" s="5" t="s">
        <v>35</v>
      </c>
      <c r="B8" s="5" t="s">
        <v>28</v>
      </c>
      <c r="C8" s="5" t="s">
        <v>36</v>
      </c>
      <c r="D8" s="5" t="s">
        <v>30</v>
      </c>
      <c r="E8" s="5" t="s">
        <v>18</v>
      </c>
      <c r="F8" s="5">
        <v>80</v>
      </c>
      <c r="G8" s="5">
        <v>80</v>
      </c>
      <c r="H8" s="6">
        <f t="shared" si="0"/>
        <v>1</v>
      </c>
      <c r="I8" s="5" t="s">
        <v>37</v>
      </c>
      <c r="J8" s="5" t="s">
        <v>38</v>
      </c>
      <c r="K8" s="5" t="s">
        <v>39</v>
      </c>
      <c r="L8" s="7">
        <v>46283</v>
      </c>
    </row>
    <row r="9" spans="1:12" ht="16.5">
      <c r="A9" s="2" t="s">
        <v>40</v>
      </c>
      <c r="B9" s="2" t="s">
        <v>28</v>
      </c>
      <c r="C9" s="2" t="s">
        <v>41</v>
      </c>
      <c r="D9" s="2" t="s">
        <v>30</v>
      </c>
      <c r="E9" s="2" t="s">
        <v>31</v>
      </c>
      <c r="F9" s="2">
        <v>80</v>
      </c>
      <c r="G9" s="2">
        <v>16</v>
      </c>
      <c r="H9" s="3">
        <f t="shared" si="0"/>
        <v>0.2</v>
      </c>
      <c r="I9" s="2" t="s">
        <v>37</v>
      </c>
      <c r="J9" s="2" t="s">
        <v>42</v>
      </c>
      <c r="K9" s="2" t="s">
        <v>43</v>
      </c>
      <c r="L9" s="4">
        <v>46283</v>
      </c>
    </row>
    <row r="10" spans="1:12" ht="16.5">
      <c r="A10" s="5" t="s">
        <v>44</v>
      </c>
      <c r="B10" s="5" t="s">
        <v>45</v>
      </c>
      <c r="C10" s="5" t="s">
        <v>46</v>
      </c>
      <c r="D10" s="5" t="s">
        <v>47</v>
      </c>
      <c r="E10" s="5" t="s">
        <v>18</v>
      </c>
      <c r="F10" s="5">
        <v>160</v>
      </c>
      <c r="G10" s="5">
        <v>124</v>
      </c>
      <c r="H10" s="6">
        <f t="shared" si="0"/>
        <v>0.77500000000000002</v>
      </c>
      <c r="I10" s="5" t="s">
        <v>48</v>
      </c>
      <c r="J10" s="5" t="s">
        <v>49</v>
      </c>
      <c r="K10" s="5" t="s">
        <v>34</v>
      </c>
      <c r="L10" s="7">
        <v>46283</v>
      </c>
    </row>
  </sheetData>
  <autoFilter ref="A4:L10" xr:uid="{00000000-0009-0000-0000-000000000000}"/>
  <mergeCells count="2">
    <mergeCell ref="A2:L2"/>
    <mergeCell ref="A1:L1"/>
  </mergeCells>
  <phoneticPr fontId="6" type="noConversion"/>
  <conditionalFormatting sqref="H5:H30">
    <cfRule type="cellIs" dxfId="0" priority="1" operator="greaterThan">
      <formula>0.9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workbookViewId="0">
      <pane ySplit="4" topLeftCell="A5" activePane="bottomLeft" state="frozen"/>
      <selection pane="bottomLeft"/>
    </sheetView>
  </sheetViews>
  <sheetFormatPr defaultRowHeight="13.5"/>
  <cols>
    <col min="1" max="1" width="24" customWidth="1"/>
    <col min="2" max="2" width="76" customWidth="1"/>
  </cols>
  <sheetData>
    <row r="1" spans="1:2" ht="24.75">
      <c r="A1" s="14" t="s">
        <v>50</v>
      </c>
      <c r="B1" s="11"/>
    </row>
    <row r="2" spans="1:2" ht="16.5">
      <c r="A2" s="13" t="s">
        <v>1</v>
      </c>
      <c r="B2" s="11"/>
    </row>
    <row r="4" spans="1:2" ht="16.5">
      <c r="A4" s="8" t="s">
        <v>51</v>
      </c>
      <c r="B4" s="8" t="s">
        <v>52</v>
      </c>
    </row>
    <row r="5" spans="1:2" ht="16.5">
      <c r="A5" s="9" t="s">
        <v>2</v>
      </c>
      <c r="B5" s="9" t="s">
        <v>53</v>
      </c>
    </row>
    <row r="6" spans="1:2" ht="16.5">
      <c r="A6" s="9" t="s">
        <v>9</v>
      </c>
      <c r="B6" s="9" t="s">
        <v>54</v>
      </c>
    </row>
    <row r="7" spans="1:2" ht="16.5">
      <c r="A7" s="9" t="s">
        <v>10</v>
      </c>
      <c r="B7" s="9" t="s">
        <v>55</v>
      </c>
    </row>
    <row r="8" spans="1:2" ht="16.5">
      <c r="A8" s="9" t="s">
        <v>11</v>
      </c>
      <c r="B8" s="9" t="s">
        <v>56</v>
      </c>
    </row>
  </sheetData>
  <mergeCells count="2">
    <mergeCell ref="A2:B2"/>
    <mergeCell ref="A1:B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字段说明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jiagui li</cp:lastModifiedBy>
  <dcterms:created xsi:type="dcterms:W3CDTF">2026-08-28T01:40:58Z</dcterms:created>
  <dcterms:modified xsi:type="dcterms:W3CDTF">2026-08-28T01:42:01Z</dcterms:modified>
</cp:coreProperties>
</file>