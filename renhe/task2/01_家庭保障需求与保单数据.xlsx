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56c89b4b6d40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a26d3180c22f4dc0"/>
    <x:sheet xmlns:r="http://schemas.openxmlformats.org/officeDocument/2006/relationships" name="家庭成员" sheetId="2" r:id="R7a3806d8ec8d4cba"/>
    <x:sheet xmlns:r="http://schemas.openxmlformats.org/officeDocument/2006/relationships" name="家庭财务" sheetId="3" r:id="Rc422186e83b046ff"/>
    <x:sheet xmlns:r="http://schemas.openxmlformats.org/officeDocument/2006/relationships" name="已有保单" sheetId="4" r:id="Rdbc85b51eb774e80"/>
    <x:sheet xmlns:r="http://schemas.openxmlformats.org/officeDocument/2006/relationships" name="保障缺口测算" sheetId="5" r:id="Re354e118f1b84ff2"/>
    <x:sheet xmlns:r="http://schemas.openxmlformats.org/officeDocument/2006/relationships" name="方案比较" sheetId="6" r:id="R4a3005410c254d38"/>
    <x:sheet xmlns:r="http://schemas.openxmlformats.org/officeDocument/2006/relationships" name="数据质量清单" sheetId="7" r:id="R1c0114fbea334f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%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B2F6B"/>
      <x:name val="Carlito"/>
    </x:font>
    <x:font>
      <x:sz val="10"/>
      <x:color rgb="FF17253B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2F6B"/>
      </x:patternFill>
    </x:fill>
    <x:fill>
      <x:patternFill patternType="solid">
        <x:fgColor rgb="FFEAF3FC"/>
      </x:patternFill>
    </x:fill>
    <x:fill>
      <x:patternFill patternType="solid">
        <x:fgColor rgb="FF0D66C2"/>
      </x:patternFill>
    </x:fill>
    <x:fill>
      <x:patternFill patternType="solid">
        <x:fgColor rgb="FFFFF3D6"/>
      </x:patternFill>
    </x:fill>
  </x:fills>
  <x:borders count="7">
    <x:border/>
    <x:border>
      <x:left style="thin">
        <x:color rgb="FFD7E3F1"/>
      </x:left>
      <x:right style="thin">
        <x:color rgb="FFD7E3F1"/>
      </x:right>
      <x:top style="thin">
        <x:color rgb="FFD7E3F1"/>
      </x:top>
    </x:border>
    <x:border>
      <x:left style="thin">
        <x:color rgb="FFD7E3F1"/>
      </x:left>
      <x:right style="thin">
        <x:color rgb="FFD7E3F1"/>
      </x:right>
    </x:border>
    <x:border>
      <x:left style="thin">
        <x:color rgb="FFD7E3F1"/>
      </x:left>
      <x:right style="thin">
        <x:color rgb="FFD7E3F1"/>
      </x:right>
      <x:bottom style="thin">
        <x:color rgb="FFD7E3F1"/>
      </x:bottom>
    </x:border>
    <x:border>
      <x:bottom style="thin">
        <x:color rgb="FFD7E3F1"/>
      </x:bottom>
    </x:border>
    <x:border>
      <x:top style="thin">
        <x:color rgb="FFD7E3F1"/>
      </x:top>
      <x:bottom style="thin">
        <x:color rgb="FFD7E3F1"/>
      </x:bottom>
    </x:border>
    <x:border>
      <x:left style="thin">
        <x:color rgb="FFD7E3F1"/>
      </x:left>
      <x:right style="thin">
        <x:color rgb="FFD7E3F1"/>
      </x:right>
      <x:top style="thin">
        <x:color rgb="FFD7E3F1"/>
      </x:top>
      <x:bottom style="thin">
        <x:color rgb="FFD7E3F1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6" xfId="0" applyNumberFormat="1" applyFont="1" applyFill="1" applyBorder="1"/>
    <x:xf numFmtId="0" fontId="4" fillId="4" borderId="6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horizontal="center" wrapText="1"/>
    </x:xf>
    <x:xf numFmtId="0" fontId="4" fillId="4" borderId="6" xfId="0" applyNumberFormat="1" applyFont="1" applyFill="1" applyBorder="1" applyAlignment="1">
      <x:alignment horizontal="center" vertical="center" wrapText="1"/>
    </x:xf>
    <x:xf numFmtId="200" fontId="3" fillId="0" borderId="4" xfId="0" applyNumberFormat="1" applyFont="1" applyFill="1" applyBorder="1" applyAlignment="1">
      <x:alignment vertical="top" wrapText="1"/>
    </x:xf>
    <x:xf numFmtId="200" fontId="3" fillId="0" borderId="5" xfId="0" applyNumberFormat="1" applyFont="1" applyFill="1" applyBorder="1" applyAlignment="1">
      <x:alignment vertical="top" wrapText="1"/>
    </x:xf>
    <x:xf numFmtId="201" fontId="3" fillId="0" borderId="4" xfId="0" applyNumberFormat="1" applyFont="1" applyFill="1" applyBorder="1" applyAlignment="1">
      <x:alignment vertical="top" wrapText="1"/>
    </x:xf>
    <x:xf numFmtId="201" fontId="3" fillId="0" borderId="5" xfId="0" applyNumberFormat="1" applyFont="1" applyFill="1" applyBorder="1" applyAlignment="1">
      <x:alignment vertical="top" wrapText="1"/>
    </x:xf>
    <x:xf numFmtId="0" fontId="3" fillId="5" borderId="4" xfId="0" applyNumberFormat="1" applyFont="1" applyFill="1" applyBorder="1" applyAlignment="1">
      <x:alignment vertical="top" wrapText="1"/>
    </x:xf>
    <x:xf numFmtId="201" fontId="3" fillId="5" borderId="4" xfId="0" applyNumberFormat="1" applyFont="1" applyFill="1" applyBorder="1" applyAlignment="1">
      <x:alignment vertical="top" wrapText="1"/>
    </x:xf>
    <x:xf numFmtId="0" fontId="3" fillId="5" borderId="5" xfId="0" applyNumberFormat="1" applyFont="1" applyFill="1" applyBorder="1" applyAlignment="1">
      <x:alignment vertical="top" wrapText="1"/>
    </x:xf>
    <x:xf numFmtId="201" fontId="3" fillId="5" borderId="5" xfId="0" applyNumberFormat="1" applyFont="1" applyFill="1" applyBorder="1" applyAlignment="1">
      <x:alignment vertical="top" wrapText="1"/>
    </x:xf>
    <x:xf numFmtId="200" fontId="3" fillId="5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color rgb="FF8A1C13"/>
      </x:font>
      <x:fill>
        <x:patternFill patternType="solid">
          <x:bgColor rgb="FFFCE8E6"/>
        </x:patternFill>
      </x:fill>
    </x:dxf>
    <x:dxf>
      <x:font>
        <x:color rgb="FF7A4B00"/>
      </x:font>
      <x:fill>
        <x:patternFill patternType="solid">
          <x:bgColor rgb="FFFFF3D6"/>
        </x:patternFill>
      </x:fill>
    </x:dxf>
    <x:dxf>
      <x:font>
        <x:color rgb="FF145B35"/>
      </x:font>
      <x:fill>
        <x:patternFill patternType="solid">
          <x:bgColor rgb="FFE3F4EA"/>
        </x:patternFill>
      </x:fill>
    </x:dxf>
    <x:dxf>
      <x:font>
        <x:color rgb="FF8A1C13"/>
      </x:font>
      <x:fill>
        <x:patternFill patternType="solid">
          <x:bgColor rgb="FFFCE8E6"/>
        </x:patternFill>
      </x:fill>
    </x:dxf>
    <x:dxf>
      <x:font>
        <x:color rgb="FF8A1C13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b8da0cb7674a39" /><Relationship Type="http://schemas.openxmlformats.org/officeDocument/2006/relationships/theme" Target="/xl/theme/theme1.xml" Id="R5876dc961a924e0d" /><Relationship Type="http://schemas.openxmlformats.org/officeDocument/2006/relationships/sharedStrings" Target="/xl/sharedStrings.xml" Id="Rd2da7880e0bf42dc" /><Relationship Type="http://schemas.openxmlformats.org/officeDocument/2006/relationships/worksheet" Target="/xl/worksheets/sheet1.xml" Id="Ra26d3180c22f4dc0" /><Relationship Type="http://schemas.openxmlformats.org/officeDocument/2006/relationships/worksheet" Target="/xl/worksheets/sheet2.xml" Id="R7a3806d8ec8d4cba" /><Relationship Type="http://schemas.openxmlformats.org/officeDocument/2006/relationships/worksheet" Target="/xl/worksheets/sheet3.xml" Id="Rc422186e83b046ff" /><Relationship Type="http://schemas.openxmlformats.org/officeDocument/2006/relationships/worksheet" Target="/xl/worksheets/sheet4.xml" Id="Rdbc85b51eb774e80" /><Relationship Type="http://schemas.openxmlformats.org/officeDocument/2006/relationships/worksheet" Target="/xl/worksheets/sheet5.xml" Id="Re354e118f1b84ff2" /><Relationship Type="http://schemas.openxmlformats.org/officeDocument/2006/relationships/worksheet" Target="/xl/worksheets/sheet6.xml" Id="R4a3005410c254d38" /><Relationship Type="http://schemas.openxmlformats.org/officeDocument/2006/relationships/worksheet" Target="/xl/worksheets/sheet7.xml" Id="R1c0114fbea334ff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192fdc34e0b431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基准情景身故保障缺口（元）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基准情景缺口</c:v>
          </c:tx>
          <c:cat>
            <c:strRef>
              <c:f>'保障缺口测算'!$A$21:$A$22</c:f>
              <c:strCache>
                <c:ptCount val="0"/>
              </c:strCache>
            </c:strRef>
          </c:cat>
          <c:val>
            <c:numRef>
              <c:f>'保障缺口测算'!$B$21:$B$22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19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192fdc34e0b431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da96e851c0a742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2" hidden="0" customWidth="1"/>
    <x:col min="3" max="3" width="3" hidden="0" customWidth="1"/>
    <x:col min="4" max="4" width="3" hidden="0" customWidth="1"/>
    <x:col min="5" max="5" width="3" hidden="0" customWidth="1"/>
    <x:col min="6" max="6" width="3" hidden="0" customWidth="1"/>
    <x:col min="7" max="7" width="3" hidden="0" customWidth="1"/>
    <x:col min="8" max="8" width="3" hidden="0" customWidth="1"/>
  </x:cols>
  <x:sheetData>
    <x:row r="1" ht="34" customHeight="1">
      <x:c r="A1" s="3" t="str">
        <x:v>仁和人寿寿险家庭保障分析训练包（教学模拟）</x:v>
      </x:c>
      <x:c r="B1" s="3" t="str">
        <x:v>仁和人寿寿险家庭保障分析训练包（教学模拟）</x:v>
      </x:c>
      <x:c r="C1" s="3" t="str">
        <x:v>仁和人寿寿险家庭保障分析训练包（教学模拟）</x:v>
      </x:c>
      <x:c r="D1" s="3" t="str">
        <x:v>仁和人寿寿险家庭保障分析训练包（教学模拟）</x:v>
      </x:c>
      <x:c r="E1" s="3" t="str">
        <x:v>仁和人寿寿险家庭保障分析训练包（教学模拟）</x:v>
      </x:c>
      <x:c r="F1" s="3" t="str">
        <x:v>仁和人寿寿险家庭保障分析训练包（教学模拟）</x:v>
      </x:c>
      <x:c r="G1" s="3" t="str">
        <x:v>仁和人寿寿险家庭保障分析训练包（教学模拟）</x:v>
      </x:c>
      <x:c r="H1" s="3" t="str">
        <x:v>仁和人寿寿险家庭保障分析训练包（教学模拟）</x:v>
      </x:c>
    </x:row>
    <x:row r="3">
      <x:c r="A3" s="6" t="str">
        <x:v>用途</x:v>
      </x:c>
      <x:c r="B3" s="14" t="str">
        <x:v>练习客户需求核验、责任法测算、保单审计、预算情景比较与会前问题设计。</x:v>
      </x:c>
    </x:row>
    <x:row r="4">
      <x:c r="A4" s="7" t="str">
        <x:v>案例</x:v>
      </x:c>
      <x:c r="B4" s="15" t="str">
        <x:v>周岚家庭；所有姓名、健康信息、保单、金额和方案均为虚构。</x:v>
      </x:c>
    </x:row>
    <x:row r="5">
      <x:c r="A5" s="7" t="str">
        <x:v>核心原则</x:v>
      </x:c>
      <x:c r="B5" s="15" t="str">
        <x:v>先标事实与假设，再计算；待确认保单不计入有效保障；健康与核保结论必须转人工。</x:v>
      </x:c>
    </x:row>
    <x:row r="6">
      <x:c r="A6" s="7" t="str">
        <x:v>输入表</x:v>
      </x:c>
      <x:c r="B6" s="15" t="str">
        <x:v>家庭成员、家庭财务、已有保单。浅黄色单元格为可调整假设。</x:v>
      </x:c>
    </x:row>
    <x:row r="7">
      <x:c r="A7" s="7" t="str">
        <x:v>计算表</x:v>
      </x:c>
      <x:c r="B7" s="15" t="str">
        <x:v>保障缺口测算。低/基准/高三组情景由公式驱动，不是唯一正确答案。</x:v>
      </x:c>
    </x:row>
    <x:row r="8">
      <x:c r="A8" s="7" t="str">
        <x:v>比较表</x:v>
      </x:c>
      <x:c r="B8" s="15" t="str">
        <x:v>方案比较。A/B/C 是保障类别组合，不是真实产品或报价。</x:v>
      </x:c>
    </x:row>
    <x:row r="9">
      <x:c r="A9" s="7" t="str">
        <x:v>质量表</x:v>
      </x:c>
      <x:c r="B9" s="15" t="str">
        <x:v>数据质量清单。故意保留状态未知、健康待核和预算冲突。</x:v>
      </x:c>
    </x:row>
    <x:row r="10">
      <x:c r="A10" s="7" t="str">
        <x:v>练习提交</x:v>
      </x:c>
      <x:c r="B10" s="15" t="str">
        <x:v>一页家庭保障分析、敏感性说明、方案比较、二次访谈问题和人工复核清单。</x:v>
      </x:c>
    </x:row>
    <x:row r="11">
      <x:c r="A11" s="7" t="str">
        <x:v>禁止</x:v>
      </x:c>
      <x:c r="B11" s="15" t="str">
        <x:v>不得承诺核保、理赔、收益或续保；不得把本表直接用于真实投保建议。</x:v>
      </x:c>
    </x:row>
    <x:row r="12">
      <x:c r="A12" s="8" t="str">
        <x:v>更新日期</x:v>
      </x:c>
      <x:c r="B12" s="15" t="str">
        <x:v>2026-08-26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8" hidden="0" customWidth="1"/>
    <x:col min="3" max="3" width="20" hidden="0" customWidth="1"/>
    <x:col min="4" max="4" width="16" hidden="0" customWidth="1"/>
    <x:col min="5" max="5" width="14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 ht="34" customHeight="1">
      <x:c r="A1" s="3" t="str">
        <x:v>家庭成员与责任分工（教学模拟）</x:v>
      </x:c>
      <x:c r="B1" s="3" t="str">
        <x:v>家庭成员与责任分工（教学模拟）</x:v>
      </x:c>
      <x:c r="C1" s="3" t="str">
        <x:v>家庭成员与责任分工（教学模拟）</x:v>
      </x:c>
      <x:c r="D1" s="3" t="str">
        <x:v>家庭成员与责任分工（教学模拟）</x:v>
      </x:c>
      <x:c r="E1" s="3" t="str">
        <x:v>家庭成员与责任分工（教学模拟）</x:v>
      </x:c>
      <x:c r="F1" s="3" t="str">
        <x:v>家庭成员与责任分工（教学模拟）</x:v>
      </x:c>
      <x:c r="G1" s="3" t="str">
        <x:v>家庭成员与责任分工（教学模拟）</x:v>
      </x:c>
      <x:c r="H1" s="3" t="str">
        <x:v>家庭成员与责任分工（教学模拟）</x:v>
      </x:c>
      <x:c r="I1" s="3" t="str">
        <x:v>家庭成员与责任分工（教学模拟）</x:v>
      </x:c>
      <x:c r="J1" s="3" t="str">
        <x:v>家庭成员与责任分工（教学模拟）</x:v>
      </x:c>
    </x:row>
    <x:row r="3" ht="30" customHeight="1">
      <x:c r="A3" s="21" t="str">
        <x:v>成员</x:v>
      </x:c>
      <x:c r="B3" s="21" t="str">
        <x:v>年龄</x:v>
      </x:c>
      <x:c r="C3" s="21" t="str">
        <x:v>职业</x:v>
      </x:c>
      <x:c r="D3" s="21" t="str">
        <x:v>税后年收入</x:v>
      </x:c>
      <x:c r="E3" s="21" t="str">
        <x:v>收入稳定性</x:v>
      </x:c>
      <x:c r="F3" s="21" t="str">
        <x:v>家庭责任</x:v>
      </x:c>
      <x:c r="G3" s="21" t="str">
        <x:v>收入替代年限</x:v>
      </x:c>
      <x:c r="H3" s="21" t="str">
        <x:v>债务承担比例</x:v>
      </x:c>
      <x:c r="I3" s="21" t="str">
        <x:v>教育责任比例</x:v>
      </x:c>
      <x:c r="J3" s="21" t="str">
        <x:v>健康/职业待确认</x:v>
      </x:c>
    </x:row>
    <x:row r="4">
      <x:c r="A4" s="14" t="str">
        <x:v>周岚</x:v>
      </x:c>
      <x:c r="B4" s="14" t="n">
        <x:v>36</x:v>
      </x:c>
      <x:c r="C4" s="14" t="str">
        <x:v>财务主管</x:v>
      </x:c>
      <x:c r="D4" s="22" t="n">
        <x:v>216000</x:v>
      </x:c>
      <x:c r="E4" s="14" t="str">
        <x:v>较稳定</x:v>
      </x:c>
      <x:c r="F4" s="14" t="str">
        <x:v>日常财务、子女照料</x:v>
      </x:c>
      <x:c r="G4" s="26" t="n">
        <x:v>10</x:v>
      </x:c>
      <x:c r="H4" s="27" t="n">
        <x:v>0.3</x:v>
      </x:c>
      <x:c r="I4" s="27" t="n">
        <x:v>0.4</x:v>
      </x:c>
      <x:c r="J4" s="14" t="str">
        <x:v>甲状腺结节报告与复查结果</x:v>
      </x:c>
    </x:row>
    <x:row r="5">
      <x:c r="A5" s="15" t="str">
        <x:v>陈一帆</x:v>
      </x:c>
      <x:c r="B5" s="15" t="n">
        <x:v>38</x:v>
      </x:c>
      <x:c r="C5" s="15" t="str">
        <x:v>工程项目经理</x:v>
      </x:c>
      <x:c r="D5" s="23" t="n">
        <x:v>324000</x:v>
      </x:c>
      <x:c r="E5" s="15" t="str">
        <x:v>奖金波动</x:v>
      </x:c>
      <x:c r="F5" s="15" t="str">
        <x:v>主要收入、房贷主借款人</x:v>
      </x:c>
      <x:c r="G5" s="28" t="n">
        <x:v>10</x:v>
      </x:c>
      <x:c r="H5" s="29" t="n">
        <x:v>0.7</x:v>
      </x:c>
      <x:c r="I5" s="29" t="n">
        <x:v>0.6</x:v>
      </x:c>
      <x:c r="J5" s="15" t="str">
        <x:v>吸烟频率、出差与职业类别</x:v>
      </x:c>
    </x:row>
    <x:row r="6">
      <x:c r="A6" s="15" t="str">
        <x:v>陈乐乐</x:v>
      </x:c>
      <x:c r="B6" s="15" t="n">
        <x:v>7</x:v>
      </x:c>
      <x:c r="C6" s="15" t="str">
        <x:v>学生</x:v>
      </x:c>
      <x:c r="D6" s="23" t="n">
        <x:v>0</x:v>
      </x:c>
      <x:c r="E6" s="15" t="str">
        <x:v>不适用</x:v>
      </x:c>
      <x:c r="F6" s="15" t="str">
        <x:v>被抚养人</x:v>
      </x:c>
      <x:c r="G6" s="15" t="n">
        <x:v>0</x:v>
      </x:c>
      <x:c r="H6" s="25" t="n">
        <x:v>0</x:v>
      </x:c>
      <x:c r="I6" s="25" t="n">
        <x:v>0</x:v>
      </x:c>
      <x:c r="J6" s="15" t="str">
        <x:v>过敏性鼻炎用药情况</x:v>
      </x:c>
    </x:row>
    <x:row r="7">
      <x:c r="A7" s="15" t="str">
        <x:v>周母</x:v>
      </x:c>
      <x:c r="B7" s="15" t="n">
        <x:v>64</x:v>
      </x:c>
      <x:c r="C7" s="15" t="str">
        <x:v>退休</x:v>
      </x:c>
      <x:c r="D7" s="23" t="n">
        <x:v>50400</x:v>
      </x:c>
      <x:c r="E7" s="15" t="str">
        <x:v>养老金</x:v>
      </x:c>
      <x:c r="F7" s="15" t="str">
        <x:v>潜在赡养对象</x:v>
      </x:c>
      <x:c r="G7" s="15" t="n">
        <x:v>0</x:v>
      </x:c>
      <x:c r="H7" s="25" t="n">
        <x:v>0</x:v>
      </x:c>
      <x:c r="I7" s="25" t="n">
        <x:v>0</x:v>
      </x:c>
      <x:c r="J7" s="15" t="str">
        <x:v>慢病与照护需求未访谈</x:v>
      </x:c>
    </x:row>
  </x:sheetData>
  <x:mergeCells>
    <x:mergeCell ref="A1:J1"/>
  </x:mergeCells>
  <x:dataValidations count="2">
    <x:dataValidation type="whole" operator="between" sqref="G4:G5">
      <x:formula1>0</x:formula1>
      <x:formula2>20</x:formula2>
    </x:dataValidation>
    <x:dataValidation type="decimal" operator="between" sqref="H4:I5">
      <x:formula1>0</x:formula1>
      <x:formula2>1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2" hidden="0" customWidth="1"/>
    <x:col min="4" max="4" width="18" hidden="0" customWidth="1"/>
    <x:col min="5" max="5" width="28" hidden="0" customWidth="1"/>
    <x:col min="6" max="6" width="34" hidden="0" customWidth="1"/>
  </x:cols>
  <x:sheetData>
    <x:row r="1" ht="34" customHeight="1">
      <x:c r="A1" s="3" t="str">
        <x:v>家庭财务事实与可调假设（教学模拟）</x:v>
      </x:c>
      <x:c r="B1" s="3" t="str">
        <x:v>家庭财务事实与可调假设（教学模拟）</x:v>
      </x:c>
      <x:c r="C1" s="3" t="str">
        <x:v>家庭财务事实与可调假设（教学模拟）</x:v>
      </x:c>
      <x:c r="D1" s="3" t="str">
        <x:v>家庭财务事实与可调假设（教学模拟）</x:v>
      </x:c>
      <x:c r="E1" s="3" t="str">
        <x:v>家庭财务事实与可调假设（教学模拟）</x:v>
      </x:c>
      <x:c r="F1" s="3" t="str">
        <x:v>家庭财务事实与可调假设（教学模拟）</x:v>
      </x:c>
    </x:row>
    <x:row r="3" ht="30" customHeight="1">
      <x:c r="A3" s="21" t="str">
        <x:v>项目</x:v>
      </x:c>
      <x:c r="B3" s="21" t="str">
        <x:v>当前值</x:v>
      </x:c>
      <x:c r="C3" s="21" t="str">
        <x:v>单位</x:v>
      </x:c>
      <x:c r="D3" s="21" t="str">
        <x:v>性质</x:v>
      </x:c>
      <x:c r="E3" s="21" t="str">
        <x:v>用于测算的处理</x:v>
      </x:c>
      <x:c r="F3" s="21" t="str">
        <x:v>说明</x:v>
      </x:c>
    </x:row>
    <x:row r="4">
      <x:c r="A4" s="14" t="str">
        <x:v>家庭税后月收入</x:v>
      </x:c>
      <x:c r="B4" s="22" t="n">
        <x:v>45000</x:v>
      </x:c>
      <x:c r="C4" s="14" t="str">
        <x:v>元/月</x:v>
      </x:c>
      <x:c r="D4" s="14" t="str">
        <x:v>客户口述</x:v>
      </x:c>
      <x:c r="E4" s="14" t="str">
        <x:v>用于预算承受参考</x:v>
      </x:c>
      <x:c r="F4" s="14" t="str">
        <x:v>陈一帆奖金另有波动</x:v>
      </x:c>
    </x:row>
    <x:row r="5">
      <x:c r="A5" s="15" t="str">
        <x:v>日常生活与教育支出</x:v>
      </x:c>
      <x:c r="B5" s="23" t="n">
        <x:v>19000</x:v>
      </x:c>
      <x:c r="C5" s="15" t="str">
        <x:v>元/月</x:v>
      </x:c>
      <x:c r="D5" s="15" t="str">
        <x:v>客户口述</x:v>
      </x:c>
      <x:c r="E5" s="15" t="str">
        <x:v>计入现金流</x:v>
      </x:c>
      <x:c r="F5" s="15" t="str">
        <x:v>不含房贷月供</x:v>
      </x:c>
    </x:row>
    <x:row r="6">
      <x:c r="A6" s="15" t="str">
        <x:v>房贷余额</x:v>
      </x:c>
      <x:c r="B6" s="23" t="n">
        <x:v>1680000</x:v>
      </x:c>
      <x:c r="C6" s="15" t="str">
        <x:v>元</x:v>
      </x:c>
      <x:c r="D6" s="15" t="str">
        <x:v>客户口述</x:v>
      </x:c>
      <x:c r="E6" s="15" t="str">
        <x:v>按成员责任比例分配</x:v>
      </x:c>
      <x:c r="F6" s="15" t="str">
        <x:v>剩余约18年</x:v>
      </x:c>
    </x:row>
    <x:row r="7">
      <x:c r="A7" s="15" t="str">
        <x:v>车贷余额</x:v>
      </x:c>
      <x:c r="B7" s="23" t="n">
        <x:v>120000</x:v>
      </x:c>
      <x:c r="C7" s="15" t="str">
        <x:v>元</x:v>
      </x:c>
      <x:c r="D7" s="15" t="str">
        <x:v>客户口述</x:v>
      </x:c>
      <x:c r="E7" s="15" t="str">
        <x:v>按成员责任比例分配</x:v>
      </x:c>
      <x:c r="F7" s="15" t="str">
        <x:v>剩余约2年</x:v>
      </x:c>
    </x:row>
    <x:row r="8">
      <x:c r="A8" s="15" t="str">
        <x:v>活期与货币基金</x:v>
      </x:c>
      <x:c r="B8" s="23" t="n">
        <x:v>380000</x:v>
      </x:c>
      <x:c r="C8" s="15" t="str">
        <x:v>元</x:v>
      </x:c>
      <x:c r="D8" s="15" t="str">
        <x:v>客户口述</x:v>
      </x:c>
      <x:c r="E8" s="15" t="str">
        <x:v>扣除应急金后可抵扣</x:v>
      </x:c>
      <x:c r="F8" s="15" t="str">
        <x:v>需确认是否还有短期用途</x:v>
      </x:c>
    </x:row>
    <x:row r="9">
      <x:c r="A9" s="15" t="str">
        <x:v>权益类基金</x:v>
      </x:c>
      <x:c r="B9" s="23" t="n">
        <x:v>520000</x:v>
      </x:c>
      <x:c r="C9" s="15" t="str">
        <x:v>元</x:v>
      </x:c>
      <x:c r="D9" s="15" t="str">
        <x:v>客户口述</x:v>
      </x:c>
      <x:c r="E9" s="15" t="str">
        <x:v>按可动用比例抵扣</x:v>
      </x:c>
      <x:c r="F9" s="15" t="str">
        <x:v>夫妻对用途意见不一致</x:v>
      </x:c>
    </x:row>
    <x:row r="10">
      <x:c r="A10" s="15" t="str">
        <x:v>应急金保留底线</x:v>
      </x:c>
      <x:c r="B10" s="30" t="n">
        <x:v>240000</x:v>
      </x:c>
      <x:c r="C10" s="15" t="str">
        <x:v>元</x:v>
      </x:c>
      <x:c r="D10" s="15" t="str">
        <x:v>工作簿假设</x:v>
      </x:c>
      <x:c r="E10" s="15" t="str">
        <x:v>从流动资产中保留</x:v>
      </x:c>
      <x:c r="F10" s="15" t="str">
        <x:v>约覆盖7至8个月必要支出</x:v>
      </x:c>
    </x:row>
    <x:row r="11">
      <x:c r="A11" s="15" t="str">
        <x:v>基金可动用比例</x:v>
      </x:c>
      <x:c r="B11" s="29" t="n">
        <x:v>0.4</x:v>
      </x:c>
      <x:c r="C11" s="15" t="str">
        <x:v>%</x:v>
      </x:c>
      <x:c r="D11" s="15" t="str">
        <x:v>工作簿假设</x:v>
      </x:c>
      <x:c r="E11" s="15" t="str">
        <x:v>用于三情景基础值</x:v>
      </x:c>
      <x:c r="F11" s="15" t="str">
        <x:v>低情景25%，高情景60%</x:v>
      </x:c>
    </x:row>
    <x:row r="12">
      <x:c r="A12" s="15" t="str">
        <x:v>子女教育责任</x:v>
      </x:c>
      <x:c r="B12" s="30" t="n">
        <x:v>600000</x:v>
      </x:c>
      <x:c r="C12" s="15" t="str">
        <x:v>元</x:v>
      </x:c>
      <x:c r="D12" s="15" t="str">
        <x:v>工作簿假设</x:v>
      </x:c>
      <x:c r="E12" s="15" t="str">
        <x:v>按成员责任比例分配</x:v>
      </x:c>
      <x:c r="F12" s="15" t="str">
        <x:v>必须与客户确认目标</x:v>
      </x:c>
    </x:row>
    <x:row r="13">
      <x:c r="A13" s="15" t="str">
        <x:v>父母支持责任</x:v>
      </x:c>
      <x:c r="B13" s="30" t="n">
        <x:v>360000</x:v>
      </x:c>
      <x:c r="C13" s="15" t="str">
        <x:v>元</x:v>
      </x:c>
      <x:c r="D13" s="15" t="str">
        <x:v>工作簿假设</x:v>
      </x:c>
      <x:c r="E13" s="15" t="str">
        <x:v>夫妻各承担50%</x:v>
      </x:c>
      <x:c r="F13" s="15" t="str">
        <x:v>按每年6万、6年演示</x:v>
      </x:c>
    </x:row>
    <x:row r="14">
      <x:c r="A14" s="15" t="str">
        <x:v>最终费用准备</x:v>
      </x:c>
      <x:c r="B14" s="30" t="n">
        <x:v>100000</x:v>
      </x:c>
      <x:c r="C14" s="15" t="str">
        <x:v>元/人</x:v>
      </x:c>
      <x:c r="D14" s="15" t="str">
        <x:v>工作簿假设</x:v>
      </x:c>
      <x:c r="E14" s="15" t="str">
        <x:v>每位收入成员计入</x:v>
      </x:c>
      <x:c r="F14" s="15" t="str">
        <x:v>非真实服务报价</x:v>
      </x:c>
    </x:row>
    <x:row r="15">
      <x:c r="A15" s="15" t="str">
        <x:v>预算A</x:v>
      </x:c>
      <x:c r="B15" s="23" t="n">
        <x:v>40000</x:v>
      </x:c>
      <x:c r="C15" s="15" t="str">
        <x:v>元/年</x:v>
      </x:c>
      <x:c r="D15" s="15" t="str">
        <x:v>客户偏好</x:v>
      </x:c>
      <x:c r="E15" s="15" t="str">
        <x:v>总保费上限</x:v>
      </x:c>
      <x:c r="F15" s="15" t="str">
        <x:v>周岚更倾向</x:v>
      </x:c>
    </x:row>
    <x:row r="16">
      <x:c r="A16" s="15" t="str">
        <x:v>预算B</x:v>
      </x:c>
      <x:c r="B16" s="23" t="n">
        <x:v>50000</x:v>
      </x:c>
      <x:c r="C16" s="15" t="str">
        <x:v>元/年</x:v>
      </x:c>
      <x:c r="D16" s="15" t="str">
        <x:v>客户偏好</x:v>
      </x:c>
      <x:c r="E16" s="15" t="str">
        <x:v>总保费上限</x:v>
      </x:c>
      <x:c r="F16" s="15" t="str">
        <x:v>陈一帆可讨论</x:v>
      </x:c>
    </x:row>
    <x:row r="17">
      <x:c r="A17" s="15" t="str">
        <x:v>已知现有年保费</x:v>
      </x:c>
      <x:c r="B17" s="23" t="n">
        <x:v>18600</x:v>
      </x:c>
      <x:c r="C17" s="15" t="str">
        <x:v>元/年</x:v>
      </x:c>
      <x:c r="D17" s="15" t="str">
        <x:v>待核对</x:v>
      </x:c>
      <x:c r="E17" s="15" t="str">
        <x:v>仅作预算占用参考</x:v>
      </x:c>
      <x:c r="F17" s="15" t="str">
        <x:v>不含状态不明保单</x:v>
      </x:c>
    </x:row>
  </x:sheetData>
  <x:mergeCells>
    <x:mergeCell ref="A1:F1"/>
  </x:mergeCells>
  <x:dataValidations count="1">
    <x:dataValidation type="decimal" operator="between" sqref="B11">
      <x:formula1>0</x:formula1>
      <x:formula2>1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6" hidden="0" customWidth="1"/>
    <x:col min="4" max="4" width="28" hidden="0" customWidth="1"/>
    <x:col min="5" max="5" width="14" hidden="0" customWidth="1"/>
    <x:col min="6" max="6" width="14" hidden="0" customWidth="1"/>
    <x:col min="7" max="7" width="20" hidden="0" customWidth="1"/>
    <x:col min="8" max="8" width="14" hidden="0" customWidth="1"/>
    <x:col min="9" max="9" width="16" hidden="0" customWidth="1"/>
    <x:col min="10" max="10" width="16" hidden="0" customWidth="1"/>
    <x:col min="11" max="11" width="36" hidden="0" customWidth="1"/>
    <x:col min="12" max="12" width="18" hidden="0" customWidth="1"/>
  </x:cols>
  <x:sheetData>
    <x:row r="1" ht="34" customHeight="1">
      <x:c r="A1" s="3" t="str">
        <x:v>已有保单与有效性审计（教学模拟）</x:v>
      </x:c>
      <x:c r="B1" s="3" t="str">
        <x:v>已有保单与有效性审计（教学模拟）</x:v>
      </x:c>
      <x:c r="C1" s="3" t="str">
        <x:v>已有保单与有效性审计（教学模拟）</x:v>
      </x:c>
      <x:c r="D1" s="3" t="str">
        <x:v>已有保单与有效性审计（教学模拟）</x:v>
      </x:c>
      <x:c r="E1" s="3" t="str">
        <x:v>已有保单与有效性审计（教学模拟）</x:v>
      </x:c>
      <x:c r="F1" s="3" t="str">
        <x:v>已有保单与有效性审计（教学模拟）</x:v>
      </x:c>
      <x:c r="G1" s="3" t="str">
        <x:v>已有保单与有效性审计（教学模拟）</x:v>
      </x:c>
      <x:c r="H1" s="3" t="str">
        <x:v>已有保单与有效性审计（教学模拟）</x:v>
      </x:c>
      <x:c r="I1" s="3" t="str">
        <x:v>已有保单与有效性审计（教学模拟）</x:v>
      </x:c>
      <x:c r="J1" s="3" t="str">
        <x:v>已有保单与有效性审计（教学模拟）</x:v>
      </x:c>
      <x:c r="K1" s="3" t="str">
        <x:v>已有保单与有效性审计（教学模拟）</x:v>
      </x:c>
      <x:c r="L1" s="3" t="str">
        <x:v>已有保单与有效性审计（教学模拟）</x:v>
      </x:c>
    </x:row>
    <x:row r="3" ht="30" customHeight="1">
      <x:c r="A3" s="21" t="str">
        <x:v>编号</x:v>
      </x:c>
      <x:c r="B3" s="21" t="str">
        <x:v>被保险人</x:v>
      </x:c>
      <x:c r="C3" s="21" t="str">
        <x:v>保障类别</x:v>
      </x:c>
      <x:c r="D3" s="21" t="str">
        <x:v>客户线索</x:v>
      </x:c>
      <x:c r="E3" s="21" t="str">
        <x:v>保额</x:v>
      </x:c>
      <x:c r="F3" s="21" t="str">
        <x:v>年保费</x:v>
      </x:c>
      <x:c r="G3" s="21" t="str">
        <x:v>当前状态</x:v>
      </x:c>
      <x:c r="H3" s="21" t="str">
        <x:v>证据完整度</x:v>
      </x:c>
      <x:c r="I3" s="21" t="str">
        <x:v>计入身故保额</x:v>
      </x:c>
      <x:c r="J3" s="21" t="str">
        <x:v>计入重疾保额</x:v>
      </x:c>
      <x:c r="K3" s="21" t="str">
        <x:v>关键待核对</x:v>
      </x:c>
      <x:c r="L3" s="21" t="str">
        <x:v>数据质量标记</x:v>
      </x:c>
    </x:row>
    <x:row r="4">
      <x:c r="A4" s="14" t="str">
        <x:v>P-01</x:v>
      </x:c>
      <x:c r="B4" s="14" t="str">
        <x:v>周岚</x:v>
      </x:c>
      <x:c r="C4" s="14" t="str">
        <x:v>重大疾病</x:v>
      </x:c>
      <x:c r="D4" s="14" t="str">
        <x:v>30万重疾，每年六千多</x:v>
      </x:c>
      <x:c r="E4" s="22" t="n">
        <x:v>300000</x:v>
      </x:c>
      <x:c r="F4" s="22" t="n">
        <x:v>6600</x:v>
      </x:c>
      <x:c r="G4" s="22" t="str">
        <x:v>有效待核责任</x:v>
      </x:c>
      <x:c r="H4" s="22" t="str">
        <x:v>中</x:v>
      </x:c>
      <x:c r="I4" s="22" t="n">
        <x:v>0</x:v>
      </x:c>
      <x:c r="J4" s="22" t="n">
        <x:v>300000</x:v>
      </x:c>
      <x:c r="K4" s="14" t="str">
        <x:v>条款责任、期限、除外、附加险</x:v>
      </x:c>
      <x:c r="L4" s="14" t="str">
        <x:v>责任待核</x:v>
      </x:c>
    </x:row>
    <x:row r="5">
      <x:c r="A5" s="15" t="str">
        <x:v>P-02</x:v>
      </x:c>
      <x:c r="B5" s="15" t="str">
        <x:v>陈一帆</x:v>
      </x:c>
      <x:c r="C5" s="15" t="str">
        <x:v>医疗</x:v>
      </x:c>
      <x:c r="D5" s="15" t="str">
        <x:v>百万医疗，换过银行卡</x:v>
      </x:c>
      <x:c r="E5" s="23"/>
      <x:c r="F5" s="23"/>
      <x:c r="G5" s="23" t="str">
        <x:v>续期状态未知</x:v>
      </x:c>
      <x:c r="H5" s="23" t="str">
        <x:v>低</x:v>
      </x:c>
      <x:c r="I5" s="23" t="n">
        <x:v>0</x:v>
      </x:c>
      <x:c r="J5" s="23" t="n">
        <x:v>0</x:v>
      </x:c>
      <x:c r="K5" s="15" t="str">
        <x:v>是否扣款成功、保障期间、免赔与续保</x:v>
      </x:c>
      <x:c r="L5" s="15" t="str">
        <x:v>状态未知</x:v>
      </x:c>
    </x:row>
    <x:row r="6">
      <x:c r="A6" s="15" t="str">
        <x:v>P-03</x:v>
      </x:c>
      <x:c r="B6" s="15" t="str">
        <x:v>陈一帆</x:v>
      </x:c>
      <x:c r="C6" s="15" t="str">
        <x:v>储蓄型寿险</x:v>
      </x:c>
      <x:c r="D6" s="15" t="str">
        <x:v>银行买的，保单找不到</x:v>
      </x:c>
      <x:c r="E6" s="23" t="n">
        <x:v>500000</x:v>
      </x:c>
      <x:c r="F6" s="23"/>
      <x:c r="G6" s="23" t="str">
        <x:v>缴费状态未知</x:v>
      </x:c>
      <x:c r="H6" s="23" t="str">
        <x:v>低</x:v>
      </x:c>
      <x:c r="I6" s="23" t="n">
        <x:v>0</x:v>
      </x:c>
      <x:c r="J6" s="23" t="n">
        <x:v>0</x:v>
      </x:c>
      <x:c r="K6" s="15" t="str">
        <x:v>合同、现金价值、身故责任、缴费状态</x:v>
      </x:c>
      <x:c r="L6" s="15" t="str">
        <x:v>不得计入</x:v>
      </x:c>
    </x:row>
    <x:row r="7">
      <x:c r="A7" s="15" t="str">
        <x:v>P-04</x:v>
      </x:c>
      <x:c r="B7" s="15" t="str">
        <x:v>陈乐乐</x:v>
      </x:c>
      <x:c r="C7" s="15" t="str">
        <x:v>教育年金</x:v>
      </x:c>
      <x:c r="D7" s="15" t="str">
        <x:v>每年1.2万，上大学能领</x:v>
      </x:c>
      <x:c r="E7" s="23"/>
      <x:c r="F7" s="23" t="n">
        <x:v>12000</x:v>
      </x:c>
      <x:c r="G7" s="23" t="str">
        <x:v>有效待核责任</x:v>
      </x:c>
      <x:c r="H7" s="23" t="str">
        <x:v>中</x:v>
      </x:c>
      <x:c r="I7" s="23" t="n">
        <x:v>0</x:v>
      </x:c>
      <x:c r="J7" s="23" t="n">
        <x:v>0</x:v>
      </x:c>
      <x:c r="K7" s="15" t="str">
        <x:v>领取结构、保证与非保证、剩余缴费期</x:v>
      </x:c>
      <x:c r="L7" s="15" t="str">
        <x:v>责任待核</x:v>
      </x:c>
    </x:row>
    <x:row r="8">
      <x:c r="A8" s="15" t="str">
        <x:v>P-05</x:v>
      </x:c>
      <x:c r="B8" s="15" t="str">
        <x:v>周岚</x:v>
      </x:c>
      <x:c r="C8" s="15" t="str">
        <x:v>团体医疗</x:v>
      </x:c>
      <x:c r="D8" s="15" t="str">
        <x:v>单位福利</x:v>
      </x:c>
      <x:c r="E8" s="23"/>
      <x:c r="F8" s="23" t="n">
        <x:v>0</x:v>
      </x:c>
      <x:c r="G8" s="23" t="str">
        <x:v>在职有效</x:v>
      </x:c>
      <x:c r="H8" s="23" t="str">
        <x:v>中</x:v>
      </x:c>
      <x:c r="I8" s="23" t="n">
        <x:v>0</x:v>
      </x:c>
      <x:c r="J8" s="23" t="n">
        <x:v>0</x:v>
      </x:c>
      <x:c r="K8" s="15" t="str">
        <x:v>年度限额、报销范围、离职后状态</x:v>
      </x:c>
      <x:c r="L8" s="15" t="str">
        <x:v>依赖在职</x:v>
      </x:c>
    </x:row>
    <x:row r="9">
      <x:c r="A9" s="15" t="str">
        <x:v>P-06</x:v>
      </x:c>
      <x:c r="B9" s="15" t="str">
        <x:v>陈一帆</x:v>
      </x:c>
      <x:c r="C9" s="15" t="str">
        <x:v>团体定期寿险</x:v>
      </x:c>
      <x:c r="D9" s="15" t="str">
        <x:v>公司福利手册截图</x:v>
      </x:c>
      <x:c r="E9" s="23" t="n">
        <x:v>300000</x:v>
      </x:c>
      <x:c r="F9" s="23" t="n">
        <x:v>0</x:v>
      </x:c>
      <x:c r="G9" s="23" t="str">
        <x:v>在职有效</x:v>
      </x:c>
      <x:c r="H9" s="23" t="str">
        <x:v>高</x:v>
      </x:c>
      <x:c r="I9" s="23" t="n">
        <x:v>300000</x:v>
      </x:c>
      <x:c r="J9" s="23" t="n">
        <x:v>0</x:v>
      </x:c>
      <x:c r="K9" s="15" t="str">
        <x:v>离职后终止、受益人登记</x:v>
      </x:c>
      <x:c r="L9" s="15" t="str">
        <x:v>可计入但需标注</x:v>
      </x:c>
    </x:row>
  </x:sheetData>
  <x:mergeCells>
    <x:mergeCell ref="A1:L1"/>
  </x:mergeCells>
  <x:conditionalFormatting sqref="L4:L9">
    <x:cfRule type="containsText" dxfId="0" priority="1" operator="containsText" text="未知"/>
    <x:cfRule type="containsText" dxfId="1" priority="2" operator="containsText" text="待核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4" hidden="0" customWidth="1"/>
    <x:col min="7" max="7" width="18" hidden="0" customWidth="1"/>
    <x:col min="8" max="8" width="18" hidden="0" customWidth="1"/>
  </x:cols>
  <x:sheetData>
    <x:row r="1" ht="34" customHeight="1">
      <x:c r="A1" s="3" t="str">
        <x:v>责任法保障缺口：低 / 基准 / 高情景（教学模拟）</x:v>
      </x:c>
      <x:c r="B1" s="3" t="str">
        <x:v>责任法保障缺口：低 / 基准 / 高情景（教学模拟）</x:v>
      </x:c>
      <x:c r="C1" s="3" t="str">
        <x:v>责任法保障缺口：低 / 基准 / 高情景（教学模拟）</x:v>
      </x:c>
      <x:c r="D1" s="3" t="str">
        <x:v>责任法保障缺口：低 / 基准 / 高情景（教学模拟）</x:v>
      </x:c>
      <x:c r="E1" s="3" t="str">
        <x:v>责任法保障缺口：低 / 基准 / 高情景（教学模拟）</x:v>
      </x:c>
      <x:c r="F1" s="3" t="str">
        <x:v>责任法保障缺口：低 / 基准 / 高情景（教学模拟）</x:v>
      </x:c>
      <x:c r="G1" s="3" t="str">
        <x:v>责任法保障缺口：低 / 基准 / 高情景（教学模拟）</x:v>
      </x:c>
      <x:c r="H1" s="3" t="str">
        <x:v>责任法保障缺口：低 / 基准 / 高情景（教学模拟）</x:v>
      </x:c>
    </x:row>
    <x:row r="3" ht="30" customHeight="1">
      <x:c r="A3" s="21" t="str">
        <x:v>情景参数</x:v>
      </x:c>
      <x:c r="B3" s="21" t="str">
        <x:v>低情景</x:v>
      </x:c>
      <x:c r="C3" s="21" t="str">
        <x:v>基准情景</x:v>
      </x:c>
      <x:c r="D3" s="21" t="str">
        <x:v>高情景</x:v>
      </x:c>
    </x:row>
    <x:row r="4">
      <x:c r="A4" s="6" t="str">
        <x:v>收入替代年限</x:v>
      </x:c>
      <x:c r="B4" s="26" t="n">
        <x:v>5</x:v>
      </x:c>
      <x:c r="C4" s="26" t="n">
        <x:v>10</x:v>
      </x:c>
      <x:c r="D4" s="26" t="n">
        <x:v>15</x:v>
      </x:c>
    </x:row>
    <x:row r="5">
      <x:c r="A5" s="7" t="str">
        <x:v>基金可动用比例</x:v>
      </x:c>
      <x:c r="B5" s="29" t="n">
        <x:v>0.25</x:v>
      </x:c>
      <x:c r="C5" s="29" t="n">
        <x:v>0.4</x:v>
      </x:c>
      <x:c r="D5" s="29" t="n">
        <x:v>0.6</x:v>
      </x:c>
    </x:row>
    <x:row r="6">
      <x:c r="A6" s="7" t="str">
        <x:v>子女教育责任</x:v>
      </x:c>
      <x:c r="B6" s="30" t="n">
        <x:v>400000</x:v>
      </x:c>
      <x:c r="C6" s="30" t="n">
        <x:v>600000</x:v>
      </x:c>
      <x:c r="D6" s="30" t="n">
        <x:v>900000</x:v>
      </x:c>
    </x:row>
    <x:row r="7">
      <x:c r="A7" s="7" t="str">
        <x:v>父母支持责任</x:v>
      </x:c>
      <x:c r="B7" s="30" t="n">
        <x:v>200000</x:v>
      </x:c>
      <x:c r="C7" s="30" t="n">
        <x:v>360000</x:v>
      </x:c>
      <x:c r="D7" s="30" t="n">
        <x:v>600000</x:v>
      </x:c>
    </x:row>
    <x:row r="8">
      <x:c r="A8" s="7" t="str">
        <x:v>债务覆盖比例</x:v>
      </x:c>
      <x:c r="B8" s="30" t="n">
        <x:v>0.7</x:v>
      </x:c>
      <x:c r="C8" s="30" t="n">
        <x:v>1</x:v>
      </x:c>
      <x:c r="D8" s="30" t="n">
        <x:v>1</x:v>
      </x:c>
    </x:row>
    <x:row r="9">
      <x:c r="A9" s="8" t="str">
        <x:v>说明</x:v>
      </x:c>
      <x:c r="B9" s="15" t="str">
        <x:v>先保五年现金流</x:v>
      </x:c>
      <x:c r="C9" s="15" t="str">
        <x:v>覆盖主要责任</x:v>
      </x:c>
      <x:c r="D9" s="15" t="str">
        <x:v>覆盖至孩子大学阶段</x:v>
      </x:c>
    </x:row>
    <x:row r="11" ht="30" customHeight="1">
      <x:c r="A11" s="21" t="str">
        <x:v>成员</x:v>
      </x:c>
      <x:c r="B11" s="21" t="str">
        <x:v>情景</x:v>
      </x:c>
      <x:c r="C11" s="21" t="str">
        <x:v>收入替代</x:v>
      </x:c>
      <x:c r="D11" s="21" t="str">
        <x:v>债务责任</x:v>
      </x:c>
      <x:c r="E11" s="21" t="str">
        <x:v>教育与赡养</x:v>
      </x:c>
      <x:c r="F11" s="21" t="str">
        <x:v>最终费用</x:v>
      </x:c>
      <x:c r="G11" s="21" t="str">
        <x:v>可抵扣资源</x:v>
      </x:c>
      <x:c r="H11" s="21" t="str">
        <x:v>身故保障缺口</x:v>
      </x:c>
    </x:row>
    <x:row r="12">
      <x:c r="A12" s="14" t="str">
        <x:v>周岚</x:v>
      </x:c>
      <x:c r="B12" s="14" t="str">
        <x:v>低</x:v>
      </x:c>
      <x:c r="C12" s="22" t="n">
        <x:f>'家庭成员'!D4*$B$4</x:f>
        <x:v>1080000</x:v>
      </x:c>
      <x:c r="D12" s="22" t="n">
        <x:f>('家庭财务'!B6+'家庭财务'!B7)*'家庭成员'!H4*$B$8</x:f>
        <x:v>378000</x:v>
      </x:c>
      <x:c r="E12" s="22" t="n">
        <x:f>$B$6*'家庭成员'!I4+$B$7*50%</x:f>
        <x:v>260000</x:v>
      </x:c>
      <x:c r="F12" s="22" t="n">
        <x:f>'家庭财务'!B14</x:f>
        <x:v>100000</x:v>
      </x:c>
      <x:c r="G12" s="22" t="n">
        <x:f>MAX('家庭财务'!B8-'家庭财务'!B10,0)*0.4+'家庭财务'!B9*$B$5*0.4+SUMIFS('已有保单'!$I$4:$I$9,'已有保单'!$B$4:$B$9,A12)</x:f>
        <x:v>108000</x:v>
      </x:c>
      <x:c r="H12" s="22" t="n">
        <x:f>MAX(SUM(C12:F12)-G12,0)</x:f>
        <x:v>1710000</x:v>
      </x:c>
    </x:row>
    <x:row r="13">
      <x:c r="A13" s="15" t="str">
        <x:v>周岚</x:v>
      </x:c>
      <x:c r="B13" s="15" t="str">
        <x:v>基准</x:v>
      </x:c>
      <x:c r="C13" s="23" t="n">
        <x:f>'家庭成员'!D4*$C$4</x:f>
        <x:v>2160000</x:v>
      </x:c>
      <x:c r="D13" s="23" t="n">
        <x:f>('家庭财务'!B6+'家庭财务'!B7)*'家庭成员'!H4*$C$8</x:f>
        <x:v>540000</x:v>
      </x:c>
      <x:c r="E13" s="23" t="n">
        <x:f>$C$6*'家庭成员'!I4+$C$7*50%</x:f>
        <x:v>420000</x:v>
      </x:c>
      <x:c r="F13" s="23" t="n">
        <x:f>'家庭财务'!B14</x:f>
        <x:v>100000</x:v>
      </x:c>
      <x:c r="G13" s="23" t="n">
        <x:f>MAX('家庭财务'!B8-'家庭财务'!B10,0)*0.4+'家庭财务'!B9*$C$5*0.4+SUMIFS('已有保单'!$I$4:$I$9,'已有保单'!$B$4:$B$9,A13)</x:f>
        <x:v>139200</x:v>
      </x:c>
      <x:c r="H13" s="23" t="n">
        <x:f>MAX(SUM(C13:F13)-G13,0)</x:f>
        <x:v>3080800</x:v>
      </x:c>
    </x:row>
    <x:row r="14">
      <x:c r="A14" s="15" t="str">
        <x:v>周岚</x:v>
      </x:c>
      <x:c r="B14" s="15" t="str">
        <x:v>高</x:v>
      </x:c>
      <x:c r="C14" s="23" t="n">
        <x:f>'家庭成员'!D4*$D$4</x:f>
        <x:v>3240000</x:v>
      </x:c>
      <x:c r="D14" s="23" t="n">
        <x:f>('家庭财务'!B6+'家庭财务'!B7)*'家庭成员'!H4*$D$8</x:f>
        <x:v>540000</x:v>
      </x:c>
      <x:c r="E14" s="23" t="n">
        <x:f>$D$6*'家庭成员'!I4+$D$7*50%</x:f>
        <x:v>660000</x:v>
      </x:c>
      <x:c r="F14" s="23" t="n">
        <x:f>'家庭财务'!B14</x:f>
        <x:v>100000</x:v>
      </x:c>
      <x:c r="G14" s="23" t="n">
        <x:f>MAX('家庭财务'!B8-'家庭财务'!B10,0)*0.4+'家庭财务'!B9*$D$5*0.4+SUMIFS('已有保单'!$I$4:$I$9,'已有保单'!$B$4:$B$9,A14)</x:f>
        <x:v>180800</x:v>
      </x:c>
      <x:c r="H14" s="23" t="n">
        <x:f>MAX(SUM(C14:F14)-G14,0)</x:f>
        <x:v>4359200</x:v>
      </x:c>
    </x:row>
    <x:row r="15">
      <x:c r="A15" s="15" t="str">
        <x:v>陈一帆</x:v>
      </x:c>
      <x:c r="B15" s="15" t="str">
        <x:v>低</x:v>
      </x:c>
      <x:c r="C15" s="23" t="n">
        <x:f>'家庭成员'!D5*$B$4</x:f>
        <x:v>1620000</x:v>
      </x:c>
      <x:c r="D15" s="23" t="n">
        <x:f>('家庭财务'!B6+'家庭财务'!B7)*'家庭成员'!H5*$B$8</x:f>
        <x:v>882000</x:v>
      </x:c>
      <x:c r="E15" s="23" t="n">
        <x:f>$B$6*'家庭成员'!I5+$B$7*50%</x:f>
        <x:v>340000</x:v>
      </x:c>
      <x:c r="F15" s="23" t="n">
        <x:f>'家庭财务'!B14</x:f>
        <x:v>100000</x:v>
      </x:c>
      <x:c r="G15" s="23" t="n">
        <x:f>MAX('家庭财务'!B8-'家庭财务'!B10,0)*0.6+'家庭财务'!B9*$B$5*0.6+SUMIFS('已有保单'!$I$4:$I$9,'已有保单'!$B$4:$B$9,A15)</x:f>
        <x:v>462000</x:v>
      </x:c>
      <x:c r="H15" s="23" t="n">
        <x:f>MAX(SUM(C15:F15)-G15,0)</x:f>
        <x:v>2480000</x:v>
      </x:c>
    </x:row>
    <x:row r="16">
      <x:c r="A16" s="15" t="str">
        <x:v>陈一帆</x:v>
      </x:c>
      <x:c r="B16" s="15" t="str">
        <x:v>基准</x:v>
      </x:c>
      <x:c r="C16" s="23" t="n">
        <x:f>'家庭成员'!D5*$C$4</x:f>
        <x:v>3240000</x:v>
      </x:c>
      <x:c r="D16" s="23" t="n">
        <x:f>('家庭财务'!B6+'家庭财务'!B7)*'家庭成员'!H5*$C$8</x:f>
        <x:v>1260000</x:v>
      </x:c>
      <x:c r="E16" s="23" t="n">
        <x:f>$C$6*'家庭成员'!I5+$C$7*50%</x:f>
        <x:v>540000</x:v>
      </x:c>
      <x:c r="F16" s="23" t="n">
        <x:f>'家庭财务'!B14</x:f>
        <x:v>100000</x:v>
      </x:c>
      <x:c r="G16" s="23" t="n">
        <x:f>MAX('家庭财务'!B8-'家庭财务'!B10,0)*0.6+'家庭财务'!B9*$C$5*0.6+SUMIFS('已有保单'!$I$4:$I$9,'已有保单'!$B$4:$B$9,A16)</x:f>
        <x:v>508800</x:v>
      </x:c>
      <x:c r="H16" s="23" t="n">
        <x:f>MAX(SUM(C16:F16)-G16,0)</x:f>
        <x:v>4631200</x:v>
      </x:c>
    </x:row>
    <x:row r="17">
      <x:c r="A17" s="15" t="str">
        <x:v>陈一帆</x:v>
      </x:c>
      <x:c r="B17" s="15" t="str">
        <x:v>高</x:v>
      </x:c>
      <x:c r="C17" s="23" t="n">
        <x:f>'家庭成员'!D5*$D$4</x:f>
        <x:v>4860000</x:v>
      </x:c>
      <x:c r="D17" s="23" t="n">
        <x:f>('家庭财务'!B6+'家庭财务'!B7)*'家庭成员'!H5*$D$8</x:f>
        <x:v>1260000</x:v>
      </x:c>
      <x:c r="E17" s="23" t="n">
        <x:f>$D$6*'家庭成员'!I5+$D$7*50%</x:f>
        <x:v>840000</x:v>
      </x:c>
      <x:c r="F17" s="23" t="n">
        <x:f>'家庭财务'!B14</x:f>
        <x:v>100000</x:v>
      </x:c>
      <x:c r="G17" s="23" t="n">
        <x:f>MAX('家庭财务'!B8-'家庭财务'!B10,0)*0.6+'家庭财务'!B9*$D$5*0.6+SUMIFS('已有保单'!$I$4:$I$9,'已有保单'!$B$4:$B$9,A17)</x:f>
        <x:v>571200</x:v>
      </x:c>
      <x:c r="H17" s="23" t="n">
        <x:f>MAX(SUM(C17:F17)-G17,0)</x:f>
        <x:v>6488800</x:v>
      </x:c>
    </x:row>
    <x:row r="20" ht="30" customHeight="1">
      <x:c r="A20" s="21" t="str">
        <x:v>成员</x:v>
      </x:c>
      <x:c r="B20" s="21" t="str">
        <x:v>基准情景缺口</x:v>
      </x:c>
      <x:c r="C20" s="21" t="str">
        <x:v>说明</x:v>
      </x:c>
    </x:row>
    <x:row r="21">
      <x:c r="A21" s="14" t="str">
        <x:v>周岚</x:v>
      </x:c>
      <x:c r="B21" s="22" t="n">
        <x:f>H13</x:f>
        <x:v>3080800</x:v>
      </x:c>
      <x:c r="C21" s="14" t="str">
        <x:v>不含待确认身故保额</x:v>
      </x:c>
    </x:row>
    <x:row r="22">
      <x:c r="A22" s="15" t="str">
        <x:v>陈一帆</x:v>
      </x:c>
      <x:c r="B22" s="23" t="n">
        <x:f>H16</x:f>
        <x:v>4631200</x:v>
      </x:c>
      <x:c r="C22" s="15" t="str">
        <x:v>含在职团体定寿30万元</x:v>
      </x:c>
    </x:row>
  </x:sheetData>
  <x:mergeCells>
    <x:mergeCell ref="A1:H1"/>
  </x:mergeCells>
  <x:conditionalFormatting sqref="H12:H17">
    <x:cfRule type="dataBar" priority="1">
      <x:dataBar>
        <x:cfvo type="min"/>
        <x:cfvo type="max"/>
        <x:color rgb="FF0D66C2"/>
      </x:dataBar>
      <x:extLst>
        <x:ext xmlns:x14="http://schemas.microsoft.com/office/spreadsheetml/2009/9/main" uri="{B025F937-C7B1-47D3-B67F-A62EFF666E3E}">
          <x14:id>{013D4621-1841-58BC-9242-B39EED10B98A}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da96e851c0a7423c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13D4621-1841-58BC-9242-B39EED10B98A}">
            <x14:dataBar gradient="1">
              <x14:cfvo type="min"/>
              <x14:cfvo type="max"/>
              <x14:fillColor rgb="FF0D66C2"/>
            </x14:dataBar>
          </x14:cfRule>
          <xm:sqref>H12:H17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4" hidden="0" customWidth="1"/>
    <x:col min="5" max="5" width="24" hidden="0" customWidth="1"/>
    <x:col min="6" max="6" width="24" hidden="0" customWidth="1"/>
    <x:col min="7" max="7" width="22" hidden="0" customWidth="1"/>
    <x:col min="8" max="8" width="28" hidden="0" customWidth="1"/>
    <x:col min="9" max="9" width="34" hidden="0" customWidth="1"/>
    <x:col min="10" max="10" width="18" hidden="0" customWidth="1"/>
  </x:cols>
  <x:sheetData>
    <x:row r="1" ht="34" customHeight="1">
      <x:c r="A1" s="3" t="str">
        <x:v>预算情景与保障类别组合比较（非真实产品/报价）</x:v>
      </x:c>
      <x:c r="B1" s="3" t="str">
        <x:v>预算情景与保障类别组合比较（非真实产品/报价）</x:v>
      </x:c>
      <x:c r="C1" s="3" t="str">
        <x:v>预算情景与保障类别组合比较（非真实产品/报价）</x:v>
      </x:c>
      <x:c r="D1" s="3" t="str">
        <x:v>预算情景与保障类别组合比较（非真实产品/报价）</x:v>
      </x:c>
      <x:c r="E1" s="3" t="str">
        <x:v>预算情景与保障类别组合比较（非真实产品/报价）</x:v>
      </x:c>
      <x:c r="F1" s="3" t="str">
        <x:v>预算情景与保障类别组合比较（非真实产品/报价）</x:v>
      </x:c>
      <x:c r="G1" s="3" t="str">
        <x:v>预算情景与保障类别组合比较（非真实产品/报价）</x:v>
      </x:c>
      <x:c r="H1" s="3" t="str">
        <x:v>预算情景与保障类别组合比较（非真实产品/报价）</x:v>
      </x:c>
      <x:c r="I1" s="3" t="str">
        <x:v>预算情景与保障类别组合比较（非真实产品/报价）</x:v>
      </x:c>
      <x:c r="J1" s="3" t="str">
        <x:v>预算情景与保障类别组合比较（非真实产品/报价）</x:v>
      </x:c>
    </x:row>
    <x:row r="3" ht="30" customHeight="1">
      <x:c r="A3" s="21" t="str">
        <x:v>方案</x:v>
      </x:c>
      <x:c r="B3" s="21" t="str">
        <x:v>新增年保费</x:v>
      </x:c>
      <x:c r="C3" s="21" t="str">
        <x:v>家庭总保费</x:v>
      </x:c>
      <x:c r="D3" s="21" t="str">
        <x:v>定期寿险</x:v>
      </x:c>
      <x:c r="E3" s="21" t="str">
        <x:v>重疾</x:v>
      </x:c>
      <x:c r="F3" s="21" t="str">
        <x:v>医疗</x:v>
      </x:c>
      <x:c r="G3" s="21" t="str">
        <x:v>意外</x:v>
      </x:c>
      <x:c r="H3" s="21" t="str">
        <x:v>优先解决</x:v>
      </x:c>
      <x:c r="I3" s="21" t="str">
        <x:v>仍有缺口</x:v>
      </x:c>
      <x:c r="J3" s="21" t="str">
        <x:v>预算判断</x:v>
      </x:c>
    </x:row>
    <x:row r="4">
      <x:c r="A4" s="14" t="str">
        <x:v>A 基础防守</x:v>
      </x:c>
      <x:c r="B4" s="22" t="n">
        <x:v>19800</x:v>
      </x:c>
      <x:c r="C4" s="22" t="n">
        <x:f>B4+'家庭财务'!B17</x:f>
        <x:v>38400</x:v>
      </x:c>
      <x:c r="D4" s="14" t="str">
        <x:v>夫妻基础额度</x:v>
      </x:c>
      <x:c r="E4" s="14" t="str">
        <x:v>周岚补充，陈一帆起步</x:v>
      </x:c>
      <x:c r="F4" s="14" t="str">
        <x:v>先核实后补齐</x:v>
      </x:c>
      <x:c r="G4" s="14" t="str">
        <x:v>按出差暴露补充</x:v>
      </x:c>
      <x:c r="H4" s="14" t="str">
        <x:v>低保费下先堵大风险</x:v>
      </x:c>
      <x:c r="I4" s="14" t="str">
        <x:v>身故缺口较大；陈一帆重疾不足</x:v>
      </x:c>
      <x:c r="J4" s="14" t="str">
        <x:f>IF(C4&lt;='家庭财务'!B15,"预算A内",IF(C4&lt;='家庭财务'!B16,"仅预算B内","超预算B"))</x:f>
        <x:v>预算A内</x:v>
      </x:c>
    </x:row>
    <x:row r="5">
      <x:c r="A5" s="15" t="str">
        <x:v>B 责任优先</x:v>
      </x:c>
      <x:c r="B5" s="23" t="n">
        <x:v>30200</x:v>
      </x:c>
      <x:c r="C5" s="23" t="n">
        <x:f>B5+'家庭财务'!B17</x:f>
        <x:v>48800</x:v>
      </x:c>
      <x:c r="D5" s="15" t="str">
        <x:v>优先覆盖主要责任</x:v>
      </x:c>
      <x:c r="E5" s="15" t="str">
        <x:v>夫妻均衡补充</x:v>
      </x:c>
      <x:c r="F5" s="15" t="str">
        <x:v>核实有效性后配置</x:v>
      </x:c>
      <x:c r="G5" s="15" t="str">
        <x:v>基础配置</x:v>
      </x:c>
      <x:c r="H5" s="15" t="str">
        <x:v>房贷与收入中断</x:v>
      </x:c>
      <x:c r="I5" s="15" t="str">
        <x:v>预算接近上限；教育责任未完全覆盖</x:v>
      </x:c>
      <x:c r="J5" s="15" t="str">
        <x:f>IF(C5&lt;='家庭财务'!B15,"预算A内",IF(C5&lt;='家庭财务'!B16,"仅预算B内","超预算B"))</x:f>
        <x:v>仅预算B内</x:v>
      </x:c>
    </x:row>
    <x:row r="6">
      <x:c r="A6" s="15" t="str">
        <x:v>C 保障扩展</x:v>
      </x:c>
      <x:c r="B6" s="23" t="n">
        <x:v>41800</x:v>
      </x:c>
      <x:c r="C6" s="23" t="n">
        <x:f>B6+'家庭财务'!B17</x:f>
        <x:v>60400</x:v>
      </x:c>
      <x:c r="D6" s="15" t="str">
        <x:v>接近基准情景</x:v>
      </x:c>
      <x:c r="E6" s="15" t="str">
        <x:v>提高陈一帆额度</x:v>
      </x:c>
      <x:c r="F6" s="15" t="str">
        <x:v>夫妻与子女均核实</x:v>
      </x:c>
      <x:c r="G6" s="15" t="str">
        <x:v>按职业与交通暴露</x:v>
      </x:c>
      <x:c r="H6" s="15" t="str">
        <x:v>提高责任覆盖程度</x:v>
      </x:c>
      <x:c r="I6" s="15" t="str">
        <x:v>总保费超过预算A，需确认现金流</x:v>
      </x:c>
      <x:c r="J6" s="15" t="str">
        <x:f>IF(C6&lt;='家庭财务'!B15,"预算A内",IF(C6&lt;='家庭财务'!B16,"仅预算B内","超预算B"))</x:f>
        <x:v>超预算B</x:v>
      </x:c>
    </x:row>
    <x:row r="9">
      <x:c r="A9" s="6" t="str">
        <x:v>使用提醒</x:v>
      </x:c>
      <x:c r="B9" s="14" t="str">
        <x:v>三行方案只表达保障类别与预算取舍，不代表真实产品、费率或核保结果。</x:v>
      </x:c>
      <x:c r="C9" s="14"/>
      <x:c r="D9" s="14"/>
      <x:c r="E9" s="14"/>
      <x:c r="F9" s="14"/>
      <x:c r="G9" s="14"/>
      <x:c r="H9" s="14"/>
      <x:c r="I9" s="14"/>
      <x:c r="J9" s="14"/>
    </x:row>
    <x:row r="10">
      <x:c r="A10" s="7" t="str">
        <x:v>比较顺序</x:v>
      </x:c>
      <x:c r="B10" s="15" t="str">
        <x:v>先看未解决的责任，再看预算；不得把保费最低直接写成最好。</x:v>
      </x:c>
      <x:c r="C10" s="15"/>
      <x:c r="D10" s="15"/>
      <x:c r="E10" s="15"/>
      <x:c r="F10" s="15"/>
      <x:c r="G10" s="15"/>
      <x:c r="H10" s="15"/>
      <x:c r="I10" s="15"/>
      <x:c r="J10" s="15"/>
    </x:row>
    <x:row r="11">
      <x:c r="A11" s="8" t="str">
        <x:v>人工复核</x:v>
      </x:c>
      <x:c r="B11" s="15" t="str">
        <x:v>健康告知、职业类别、现有合同责任与状态、真实费率和正式销售建议。</x:v>
      </x:c>
      <x:c r="C11" s="15"/>
      <x:c r="D11" s="15"/>
      <x:c r="E11" s="15"/>
      <x:c r="F11" s="15"/>
      <x:c r="G11" s="15"/>
      <x:c r="H11" s="15"/>
      <x:c r="I11" s="15"/>
      <x:c r="J11" s="15"/>
    </x:row>
  </x:sheetData>
  <x:mergeCells>
    <x:mergeCell ref="A1:J1"/>
    <x:mergeCell ref="B9:J9"/>
    <x:mergeCell ref="B10:J10"/>
    <x:mergeCell ref="B11:J11"/>
  </x:mergeCells>
  <x:conditionalFormatting sqref="J4:J6">
    <x:cfRule type="containsText" dxfId="2" priority="1" operator="containsText" text="预算A内"/>
    <x:cfRule type="containsText" dxfId="3" priority="2" operator="containsText" text="超预算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8" hidden="0" customWidth="1"/>
    <x:col min="4" max="4" width="32" hidden="0" customWidth="1"/>
    <x:col min="5" max="5" width="34" hidden="0" customWidth="1"/>
    <x:col min="6" max="6" width="18" hidden="0" customWidth="1"/>
    <x:col min="7" max="7" width="22" hidden="0" customWidth="1"/>
  </x:cols>
  <x:sheetData>
    <x:row r="1" ht="34" customHeight="1">
      <x:c r="A1" s="3" t="str">
        <x:v>数据质量、核验动作与人工边界</x:v>
      </x:c>
      <x:c r="B1" s="3" t="str">
        <x:v>数据质量、核验动作与人工边界</x:v>
      </x:c>
      <x:c r="C1" s="3" t="str">
        <x:v>数据质量、核验动作与人工边界</x:v>
      </x:c>
      <x:c r="D1" s="3" t="str">
        <x:v>数据质量、核验动作与人工边界</x:v>
      </x:c>
      <x:c r="E1" s="3" t="str">
        <x:v>数据质量、核验动作与人工边界</x:v>
      </x:c>
      <x:c r="F1" s="3" t="str">
        <x:v>数据质量、核验动作与人工边界</x:v>
      </x:c>
      <x:c r="G1" s="3" t="str">
        <x:v>数据质量、核验动作与人工边界</x:v>
      </x:c>
    </x:row>
    <x:row r="3" ht="30" customHeight="1">
      <x:c r="A3" s="21" t="str">
        <x:v>编号</x:v>
      </x:c>
      <x:c r="B3" s="21" t="str">
        <x:v>问题</x:v>
      </x:c>
      <x:c r="C3" s="21" t="str">
        <x:v>所在表</x:v>
      </x:c>
      <x:c r="D3" s="21" t="str">
        <x:v>影响</x:v>
      </x:c>
      <x:c r="E3" s="21" t="str">
        <x:v>建议动作</x:v>
      </x:c>
      <x:c r="F3" s="21" t="str">
        <x:v>AI能否处理</x:v>
      </x:c>
      <x:c r="G3" s="21" t="str">
        <x:v>责任人</x:v>
      </x:c>
    </x:row>
    <x:row r="4">
      <x:c r="A4" s="14" t="str">
        <x:v>DQ-01</x:v>
      </x:c>
      <x:c r="B4" s="14" t="str">
        <x:v>P-02 医疗险续期状态未知</x:v>
      </x:c>
      <x:c r="C4" s="14" t="str">
        <x:v>已有保单</x:v>
      </x:c>
      <x:c r="D4" s="14" t="str">
        <x:v>不能计入有效医疗保障</x:v>
      </x:c>
      <x:c r="E4" s="14" t="str">
        <x:v>查询官方保单状态与扣款记录</x:v>
      </x:c>
      <x:c r="F4" s="14" t="str">
        <x:v>只能标记</x:v>
      </x:c>
      <x:c r="G4" s="14" t="str">
        <x:v>客户+保单服务</x:v>
      </x:c>
    </x:row>
    <x:row r="5">
      <x:c r="A5" s="15" t="str">
        <x:v>DQ-02</x:v>
      </x:c>
      <x:c r="B5" s="15" t="str">
        <x:v>P-03 合同缺失且缴费状态未知</x:v>
      </x:c>
      <x:c r="C5" s="15" t="str">
        <x:v>已有保单</x:v>
      </x:c>
      <x:c r="D5" s="15" t="str">
        <x:v>身故保额与现金价值不能使用</x:v>
      </x:c>
      <x:c r="E5" s="15" t="str">
        <x:v>取得合同与正式查询结果</x:v>
      </x:c>
      <x:c r="F5" s="15" t="str">
        <x:v>不能推断</x:v>
      </x:c>
      <x:c r="G5" s="15" t="str">
        <x:v>客户+保单服务</x:v>
      </x:c>
    </x:row>
    <x:row r="6">
      <x:c r="A6" s="15" t="str">
        <x:v>DQ-03</x:v>
      </x:c>
      <x:c r="B6" s="15" t="str">
        <x:v>周岚甲状腺结节资料不完整</x:v>
      </x:c>
      <x:c r="C6" s="15" t="str">
        <x:v>家庭成员</x:v>
      </x:c>
      <x:c r="D6" s="15" t="str">
        <x:v>影响投保资料与核保流程</x:v>
      </x:c>
      <x:c r="E6" s="15" t="str">
        <x:v>补充体检报告和复查资料</x:v>
      </x:c>
      <x:c r="F6" s="15" t="str">
        <x:v>不能判断</x:v>
      </x:c>
      <x:c r="G6" s="15" t="str">
        <x:v>客户+核保</x:v>
      </x:c>
    </x:row>
    <x:row r="7">
      <x:c r="A7" s="15" t="str">
        <x:v>DQ-04</x:v>
      </x:c>
      <x:c r="B7" s="15" t="str">
        <x:v>陈一帆吸烟与职业类别未确认</x:v>
      </x:c>
      <x:c r="C7" s="15" t="str">
        <x:v>家庭成员</x:v>
      </x:c>
      <x:c r="D7" s="15" t="str">
        <x:v>影响风险评估与正式投保</x:v>
      </x:c>
      <x:c r="E7" s="15" t="str">
        <x:v>按问卷逐项确认</x:v>
      </x:c>
      <x:c r="F7" s="15" t="str">
        <x:v>不能判断</x:v>
      </x:c>
      <x:c r="G7" s="15" t="str">
        <x:v>客户+核保</x:v>
      </x:c>
    </x:row>
    <x:row r="8">
      <x:c r="A8" s="15" t="str">
        <x:v>DQ-05</x:v>
      </x:c>
      <x:c r="B8" s="15" t="str">
        <x:v>基金用途夫妻意见不一致</x:v>
      </x:c>
      <x:c r="C8" s="15" t="str">
        <x:v>家庭财务</x:v>
      </x:c>
      <x:c r="D8" s="15" t="str">
        <x:v>可抵扣资源变化大</x:v>
      </x:c>
      <x:c r="E8" s="15" t="str">
        <x:v>按25%/40%/60%做敏感性</x:v>
      </x:c>
      <x:c r="F8" s="15" t="str">
        <x:v>可做情景</x:v>
      </x:c>
      <x:c r="G8" s="15" t="str">
        <x:v>夫妻共同确认</x:v>
      </x:c>
    </x:row>
    <x:row r="9">
      <x:c r="A9" s="15" t="str">
        <x:v>DQ-06</x:v>
      </x:c>
      <x:c r="B9" s="15" t="str">
        <x:v>教育责任目标未量化</x:v>
      </x:c>
      <x:c r="C9" s="15" t="str">
        <x:v>家庭财务</x:v>
      </x:c>
      <x:c r="D9" s="15" t="str">
        <x:v>缺口随目标大幅变化</x:v>
      </x:c>
      <x:c r="E9" s="15" t="str">
        <x:v>设置40/60/90万元情景</x:v>
      </x:c>
      <x:c r="F9" s="15" t="str">
        <x:v>可做情景</x:v>
      </x:c>
      <x:c r="G9" s="15" t="str">
        <x:v>夫妻共同确认</x:v>
      </x:c>
    </x:row>
    <x:row r="10">
      <x:c r="A10" s="15" t="str">
        <x:v>DQ-07</x:v>
      </x:c>
      <x:c r="B10" s="15" t="str">
        <x:v>已知现有保费可能不完整</x:v>
      </x:c>
      <x:c r="C10" s="15" t="str">
        <x:v>家庭财务</x:v>
      </x:c>
      <x:c r="D10" s="15" t="str">
        <x:v>预算判断可能偏乐观</x:v>
      </x:c>
      <x:c r="E10" s="15" t="str">
        <x:v>补齐所有在缴合同保费</x:v>
      </x:c>
      <x:c r="F10" s="15" t="str">
        <x:v>只能标记</x:v>
      </x:c>
      <x:c r="G10" s="15" t="str">
        <x:v>客户</x:v>
      </x:c>
    </x:row>
    <x:row r="11">
      <x:c r="A11" s="15" t="str">
        <x:v>DQ-08</x:v>
      </x:c>
      <x:c r="B11" s="15" t="str">
        <x:v>团体保障依赖在职状态</x:v>
      </x:c>
      <x:c r="C11" s="15" t="str">
        <x:v>已有保单</x:v>
      </x:c>
      <x:c r="D11" s="15" t="str">
        <x:v>长期保障稳定性不足</x:v>
      </x:c>
      <x:c r="E11" s="15" t="str">
        <x:v>单列并做离职情景</x:v>
      </x:c>
      <x:c r="F11" s="15" t="str">
        <x:v>可做情景</x:v>
      </x:c>
      <x:c r="G11" s="15" t="str">
        <x:v>客户+单位福利</x:v>
      </x:c>
    </x:row>
  </x:sheetData>
  <x:mergeCells>
    <x:mergeCell ref="A1:G1"/>
  </x:mergeCells>
  <x:conditionalFormatting sqref="F4:F11">
    <x:cfRule type="containsText" dxfId="4" priority="1" operator="containsText" text="不能"/>
  </x:conditionalFormatting>
  <x:dataValidations count="1">
    <x:dataValidation type="list" sqref="F4:F11">
      <x:formula1>"可做情景,只能标记,不能判断"</x:formula1>
    </x:dataValidation>
  </x:dataValidations>
  <x:pageMargins left="0.7" right="0.7" top="0.75" bottom="0.75" header="0.3" footer="0.3"/>
</x:worksheet>
</file>