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92c143d82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e8d23ef268747a8"/>
    <x:sheet xmlns:r="http://schemas.openxmlformats.org/officeDocument/2006/relationships" name="学员明细" sheetId="2" r:id="R04edebcfa6cc4c19"/>
    <x:sheet xmlns:r="http://schemas.openxmlformats.org/officeDocument/2006/relationships" name="部门目标" sheetId="3" r:id="R649d904e7d3f455d"/>
    <x:sheet xmlns:r="http://schemas.openxmlformats.org/officeDocument/2006/relationships" name="管理摘要" sheetId="4" r:id="Rb9222fc090fe4ba5"/>
    <x:sheet xmlns:r="http://schemas.openxmlformats.org/officeDocument/2006/relationships" name="数据质量清单" sheetId="5" r:id="Ra767779d4cfb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5">
    <x:font>
      <x:sz val="11"/>
      <x:name val="Carlito"/>
    </x:font>
    <x:font>
      <x:b/>
      <x:sz val="18"/>
      <x:color rgb="FFFFFEFD"/>
      <x:name val="Microsoft YaHei"/>
    </x:font>
    <x:font>
      <x:b/>
      <x:sz val="11"/>
      <x:color rgb="FF082B66"/>
      <x:name val="Carlito"/>
    </x:font>
    <x:font>
      <x:b/>
      <x:sz val="11"/>
      <x:color rgb="FFFFFEFD"/>
      <x:name val="Microsoft YaHei"/>
    </x:font>
    <x:font>
      <x:sz val="10"/>
      <x:color rgb="FF17253B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82B66"/>
      </x:patternFill>
    </x:fill>
    <x:fill>
      <x:patternFill patternType="solid">
        <x:fgColor rgb="FFEDF5FD"/>
      </x:patternFill>
    </x:fill>
    <x:fill>
      <x:patternFill patternType="solid">
        <x:fgColor rgb="FF0D66C2"/>
      </x:patternFill>
    </x:fill>
  </x:fills>
  <x:borders count="13">
    <x:border/>
    <x:border>
      <x:right style="thin">
        <x:color rgb="FFD8E5F3"/>
      </x:right>
      <x:bottom style="thin">
        <x:color rgb="FFD8E5F3"/>
      </x:bottom>
    </x:border>
    <x:border>
      <x:left style="thin">
        <x:color rgb="FFD8E5F3"/>
      </x:left>
      <x:bottom style="thin">
        <x:color rgb="FFD8E5F3"/>
      </x:bottom>
    </x:border>
    <x:border>
      <x:right style="thin">
        <x:color rgb="FFD8E5F3"/>
      </x:right>
      <x:top style="thin">
        <x:color rgb="FFD8E5F3"/>
      </x:top>
      <x:bottom style="thin">
        <x:color rgb="FFD8E5F3"/>
      </x:bottom>
    </x:border>
    <x:border>
      <x:left style="thin">
        <x:color rgb="FFD8E5F3"/>
      </x:left>
      <x:top style="thin">
        <x:color rgb="FFD8E5F3"/>
      </x:top>
      <x:bottom style="thin">
        <x:color rgb="FFD8E5F3"/>
      </x:bottom>
    </x:border>
    <x:border>
      <x:right style="thin">
        <x:color rgb="FFD8E5F3"/>
      </x:right>
      <x:top style="thin">
        <x:color rgb="FFD8E5F3"/>
      </x:top>
    </x:border>
    <x:border>
      <x:left style="thin">
        <x:color rgb="FFD8E5F3"/>
      </x:left>
      <x:top style="thin">
        <x:color rgb="FFD8E5F3"/>
      </x:top>
    </x:border>
    <x:border>
      <x:right style="thin">
        <x:color rgb="FFD8E5F3"/>
      </x:right>
    </x:border>
    <x:border>
      <x:left style="thin">
        <x:color rgb="FFD8E5F3"/>
      </x:left>
      <x:right style="thin">
        <x:color rgb="FFD8E5F3"/>
      </x:right>
    </x:border>
    <x:border>
      <x:left style="thin">
        <x:color rgb="FFD8E5F3"/>
      </x:left>
    </x:border>
    <x:border>
      <x:bottom style="thin">
        <x:color rgb="FFD8E5F3"/>
      </x:bottom>
    </x:border>
    <x:border>
      <x:top style="thin">
        <x:color rgb="FFD8E5F3"/>
      </x:top>
      <x:bottom style="thin">
        <x:color rgb="FFD8E5F3"/>
      </x:bottom>
    </x:border>
    <x:border>
      <x:top style="thin">
        <x:color rgb="FFD8E5F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2" fontId="4" fillId="0" borderId="11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10" xfId="0" applyNumberFormat="1" applyFont="1" applyFill="1" applyBorder="1"/>
    <x:xf numFmtId="202" fontId="4" fillId="0" borderId="11" xfId="0" applyNumberFormat="1" applyFont="1" applyFill="1" applyBorder="1"/>
    <x:xf numFmtId="202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82B66"/>
      </x:font>
      <x:fill>
        <x:patternFill patternType="solid">
          <x:bgColor rgb="FFFCE8E6"/>
        </x:patternFill>
      </x:fill>
    </x:dxf>
    <x:dxf>
      <x:font>
        <x:b/>
        <x:color rgb="FF082B66"/>
      </x:font>
      <x:fill>
        <x:patternFill patternType="solid">
          <x:bgColor rgb="FFFCE8E6"/>
        </x:patternFill>
      </x:fill>
    </x:dxf>
    <x:dxf>
      <x:font>
        <x:b/>
        <x:color rgb="FF082B66"/>
      </x:font>
      <x:fill>
        <x:patternFill patternType="solid">
          <x:bgColor rgb="FFFCE8E6"/>
        </x:patternFill>
      </x:fill>
    </x:dxf>
    <x:dxf>
      <x:font>
        <x:b/>
        <x:color rgb="FF082B6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695cdadb8453b" /><Relationship Type="http://schemas.openxmlformats.org/officeDocument/2006/relationships/theme" Target="/xl/theme/theme1.xml" Id="R5975fe34867f40b4" /><Relationship Type="http://schemas.openxmlformats.org/officeDocument/2006/relationships/sharedStrings" Target="/xl/sharedStrings.xml" Id="Rb57312cd97164324" /><Relationship Type="http://schemas.openxmlformats.org/officeDocument/2006/relationships/worksheet" Target="/xl/worksheets/sheet1.xml" Id="Rce8d23ef268747a8" /><Relationship Type="http://schemas.openxmlformats.org/officeDocument/2006/relationships/worksheet" Target="/xl/worksheets/sheet2.xml" Id="R04edebcfa6cc4c19" /><Relationship Type="http://schemas.openxmlformats.org/officeDocument/2006/relationships/worksheet" Target="/xl/worksheets/sheet3.xml" Id="R649d904e7d3f455d" /><Relationship Type="http://schemas.openxmlformats.org/officeDocument/2006/relationships/worksheet" Target="/xl/worksheets/sheet4.xml" Id="Rb9222fc090fe4ba5" /><Relationship Type="http://schemas.openxmlformats.org/officeDocument/2006/relationships/worksheet" Target="/xl/worksheets/sheet5.xml" Id="Ra767779d4cfb40fc" /><Relationship Type="http://schemas.microsoft.com/office/2017/10/relationships/person" Target="/xl/persons/person.xml" Id="R6aeb50e6222746c1" /></Relationships>
</file>

<file path=xl/persons/person.xml><?xml version="1.0" encoding="utf-8"?>
<xltc:personList xmlns:xltc="http://schemas.microsoft.com/office/spreadsheetml/2018/threadedcomments">
  <xltc:person displayName="User" id="{9E0174FF-8D26-4900-B983-8FB384E37B2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4" customHeight="1">
      <x:c r="A1" s="3" t="str">
        <x:v>仁和人寿新员工培训数据包（教学模拟）</x:v>
      </x:c>
    </x:row>
    <x:row r="3">
      <x:c r="A3" s="8" t="str">
        <x:v>用途</x:v>
      </x:c>
      <x:c r="B3" s="9" t="str">
        <x:v>训练学员完成数据清洗、异常识别、经营式解读与管理建议。</x:v>
      </x:c>
    </x:row>
    <x:row r="4">
      <x:c r="A4" s="10" t="str">
        <x:v>数据范围</x:v>
      </x:c>
      <x:c r="B4" s="11" t="str">
        <x:v>2026年7月模拟新员工训练营；共40条原始记录。</x:v>
      </x:c>
    </x:row>
    <x:row r="5">
      <x:c r="A5" s="10" t="str">
        <x:v>重要提醒</x:v>
      </x:c>
      <x:c r="B5" s="11" t="str">
        <x:v>所有姓名、部门、成绩和口径均为教学模拟，不代表仁和人寿真实数据。</x:v>
      </x:c>
    </x:row>
    <x:row r="6">
      <x:c r="A6" s="10" t="str">
        <x:v>已知难点</x:v>
      </x:c>
      <x:c r="B6" s="11" t="str">
        <x:v>重复学员编号、缺失成绩、满意度越界、课时异常、部门目标口径不一致。</x:v>
      </x:c>
    </x:row>
    <x:row r="7">
      <x:c r="A7" s="10" t="str">
        <x:v>建议产出</x:v>
      </x:c>
      <x:c r="B7" s="11" t="str">
        <x:v>一页管理摘要 + 异常清单 + 分部门对比 + 三条行动建议。</x:v>
      </x:c>
    </x:row>
    <x:row r="8">
      <x:c r="A8" s="10" t="str">
        <x:v>主数据表</x:v>
      </x:c>
      <x:c r="B8" s="11" t="str">
        <x:v>学员明细</x:v>
      </x:c>
    </x:row>
    <x:row r="9">
      <x:c r="A9" s="10" t="str">
        <x:v>目标表</x:v>
      </x:c>
      <x:c r="B9" s="11" t="str">
        <x:v>部门目标</x:v>
      </x:c>
    </x:row>
    <x:row r="10">
      <x:c r="A10" s="12" t="str">
        <x:v>核验表</x:v>
      </x:c>
      <x:c r="B10" s="13" t="str">
        <x:v>数据质量清单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1" hidden="0" customWidth="1"/>
    <x:col min="3" max="3" width="16" hidden="0" customWidth="1"/>
    <x:col min="4" max="4" width="16" hidden="0" customWidth="1"/>
    <x:col min="5" max="5" width="9.880000114440918" hidden="0" customWidth="1"/>
    <x:col min="6" max="6" width="7.880000114440918" hidden="0" customWidth="1"/>
    <x:col min="7" max="7" width="7.880000114440918" hidden="0" customWidth="1"/>
    <x:col min="8" max="8" width="13.380000114440918" hidden="0" customWidth="1"/>
    <x:col min="9" max="9" width="7.880000114440918" hidden="0" customWidth="1"/>
    <x:col min="10" max="10" width="6" hidden="0" customWidth="1"/>
    <x:col min="11" max="11" width="7.880000114440918" hidden="0" customWidth="1"/>
    <x:col min="12" max="12" width="22" hidden="0" customWidth="1"/>
    <x:col min="13" max="13" width="7.25" hidden="0" customWidth="1"/>
    <x:col min="14" max="14" width="6" hidden="0" customWidth="1"/>
    <x:col min="15" max="15" width="16" hidden="0" customWidth="1"/>
  </x:cols>
  <x:sheetData>
    <x:row r="1" ht="30" customHeight="1">
      <x:c r="A1" s="25" t="str">
        <x:v>学员编号</x:v>
      </x:c>
      <x:c r="B1" s="26" t="str">
        <x:v>姓名</x:v>
      </x:c>
      <x:c r="C1" s="26" t="str">
        <x:v>部门</x:v>
      </x:c>
      <x:c r="D1" s="26" t="str">
        <x:v>岗位序列</x:v>
      </x:c>
      <x:c r="E1" s="26" t="str">
        <x:v>报名日期</x:v>
      </x:c>
      <x:c r="F1" s="26" t="str">
        <x:v>应到课时</x:v>
      </x:c>
      <x:c r="G1" s="26" t="str">
        <x:v>实到课时</x:v>
      </x:c>
      <x:c r="H1" s="26" t="str">
        <x:v>在线学习完成率</x:v>
      </x:c>
      <x:c r="I1" s="26" t="str">
        <x:v>结业测验</x:v>
      </x:c>
      <x:c r="J1" s="26" t="str">
        <x:v>满意度</x:v>
      </x:c>
      <x:c r="K1" s="26" t="str">
        <x:v>是否补考</x:v>
      </x:c>
      <x:c r="L1" s="26" t="str">
        <x:v>数据备注</x:v>
      </x:c>
      <x:c r="M1" s="26" t="str">
        <x:v>出勤率</x:v>
      </x:c>
      <x:c r="N1" s="26" t="str">
        <x:v>双达标</x:v>
      </x:c>
      <x:c r="O1" s="27" t="str">
        <x:v>系统异常标记</x:v>
      </x:c>
    </x:row>
    <x:row r="2">
      <x:c r="A2" s="32" t="str">
        <x:v>E001</x:v>
      </x:c>
      <x:c r="B2" s="32" t="str">
        <x:v>赵然</x:v>
      </x:c>
      <x:c r="C2" s="32" t="str">
        <x:v>北京分公司</x:v>
      </x:c>
      <x:c r="D2" s="32" t="str">
        <x:v>运营管理</x:v>
      </x:c>
      <x:c r="E2" s="35" t="n">
        <x:v>46190</x:v>
      </x:c>
      <x:c r="F2" s="32" t="n">
        <x:v>16</x:v>
      </x:c>
      <x:c r="G2" s="32" t="n">
        <x:v>13</x:v>
      </x:c>
      <x:c r="H2" s="38" t="n">
        <x:v>0.85</x:v>
      </x:c>
      <x:c r="I2" s="32" t="n">
        <x:v>79</x:v>
      </x:c>
      <x:c r="J2" s="41" t="n">
        <x:v>3.3</x:v>
      </x:c>
      <x:c r="K2" s="32" t="str">
        <x:v>是</x:v>
      </x:c>
      <x:c r="L2" s="32" t="str"/>
      <x:c r="M2" s="38" t="n">
        <x:f>IF(F2=0,"口径异常",G2/F2)</x:f>
        <x:v>0.8125</x:v>
      </x:c>
      <x:c r="N2" s="32" t="str">
        <x:f>IF(AND(M2&gt;=0.9,H2&gt;=0.9,I2&gt;=80),"是","否")</x:f>
        <x:v>否</x:v>
      </x:c>
      <x:c r="O2" s="32" t="str">
        <x:f>IF(COUNTIF($A$2:$A$41,A2)&gt;1,"重复编号",IF(OR(F2&lt;=0,G2&gt;F2),"课时异常",IF(OR(J2&lt;1,J2&gt;5),"满意度越界",IF(OR(H2="",I2=""),"关键值缺失",""))))</x:f>
      </x:c>
    </x:row>
    <x:row r="3">
      <x:c r="A3" s="33" t="str">
        <x:v>E002</x:v>
      </x:c>
      <x:c r="B3" s="33" t="str">
        <x:v>钱清</x:v>
      </x:c>
      <x:c r="C3" s="33" t="str">
        <x:v>河北分公司</x:v>
      </x:c>
      <x:c r="D3" s="33" t="str">
        <x:v>综合管理</x:v>
      </x:c>
      <x:c r="E3" s="36" t="n">
        <x:v>46191</x:v>
      </x:c>
      <x:c r="F3" s="33" t="n">
        <x:v>16</x:v>
      </x:c>
      <x:c r="G3" s="33" t="n">
        <x:v>14</x:v>
      </x:c>
      <x:c r="H3" s="39" t="n">
        <x:v>0.92</x:v>
      </x:c>
      <x:c r="I3" s="33" t="n">
        <x:v>90</x:v>
      </x:c>
      <x:c r="J3" s="42" t="n">
        <x:v>3.6</x:v>
      </x:c>
      <x:c r="K3" s="33" t="str">
        <x:v>否</x:v>
      </x:c>
      <x:c r="L3" s="33" t="str"/>
      <x:c r="M3" s="39" t="n">
        <x:f>IF(F3=0,"口径异常",G3/F3)</x:f>
        <x:v>0.875</x:v>
      </x:c>
      <x:c r="N3" s="33" t="str">
        <x:f>IF(AND(M3&gt;=0.9,H3&gt;=0.9,I3&gt;=80),"是","否")</x:f>
        <x:v>否</x:v>
      </x:c>
      <x:c r="O3" s="33" t="str">
        <x:f>IF(COUNTIF($A$2:$A$41,A3)&gt;1,"重复编号",IF(OR(F3&lt;=0,G3&gt;F3),"课时异常",IF(OR(J3&lt;1,J3&gt;5),"满意度越界",IF(OR(H3="",I3=""),"关键值缺失",""))))</x:f>
      </x:c>
    </x:row>
    <x:row r="4">
      <x:c r="A4" s="33" t="str">
        <x:v>E003</x:v>
      </x:c>
      <x:c r="B4" s="33" t="str">
        <x:v>孙琪</x:v>
      </x:c>
      <x:c r="C4" s="33" t="str">
        <x:v>河南分公司</x:v>
      </x:c>
      <x:c r="D4" s="33" t="str">
        <x:v>客户服务</x:v>
      </x:c>
      <x:c r="E4" s="36" t="n">
        <x:v>46192</x:v>
      </x:c>
      <x:c r="F4" s="33" t="n">
        <x:v>16</x:v>
      </x:c>
      <x:c r="G4" s="33" t="n">
        <x:v>15</x:v>
      </x:c>
      <x:c r="H4" s="39" t="n">
        <x:v>0.99</x:v>
      </x:c>
      <x:c r="I4" s="33" t="n">
        <x:v>70</x:v>
      </x:c>
      <x:c r="J4" s="42" t="n">
        <x:v>3.9</x:v>
      </x:c>
      <x:c r="K4" s="33" t="str">
        <x:v>是</x:v>
      </x:c>
      <x:c r="L4" s="33" t="str"/>
      <x:c r="M4" s="39" t="n">
        <x:f>IF(F4=0,"口径异常",G4/F4)</x:f>
        <x:v>0.9375</x:v>
      </x:c>
      <x:c r="N4" s="33" t="str">
        <x:f>IF(AND(M4&gt;=0.9,H4&gt;=0.9,I4&gt;=80),"是","否")</x:f>
        <x:v>否</x:v>
      </x:c>
      <x:c r="O4" s="33" t="str">
        <x:f>IF(COUNTIF($A$2:$A$41,A4)&gt;1,"重复编号",IF(OR(F4&lt;=0,G4&gt;F4),"课时异常",IF(OR(J4&lt;1,J4&gt;5),"满意度越界",IF(OR(H4="",I4=""),"关键值缺失",""))))</x:f>
      </x:c>
    </x:row>
    <x:row r="5">
      <x:c r="A5" s="33" t="str">
        <x:v>E004</x:v>
      </x:c>
      <x:c r="B5" s="33" t="str">
        <x:v>李楠</x:v>
      </x:c>
      <x:c r="C5" s="33" t="str">
        <x:v>运营支持部</x:v>
      </x:c>
      <x:c r="D5" s="33" t="str">
        <x:v>培训管理</x:v>
      </x:c>
      <x:c r="E5" s="36" t="n">
        <x:v>46193</x:v>
      </x:c>
      <x:c r="F5" s="33" t="n">
        <x:v>16</x:v>
      </x:c>
      <x:c r="G5" s="33" t="n">
        <x:v>16</x:v>
      </x:c>
      <x:c r="H5" s="39" t="n">
        <x:v>0.83</x:v>
      </x:c>
      <x:c r="I5" s="33" t="n">
        <x:v>81</x:v>
      </x:c>
      <x:c r="J5" s="42" t="n">
        <x:v>4.2</x:v>
      </x:c>
      <x:c r="K5" s="33" t="str">
        <x:v>否</x:v>
      </x:c>
      <x:c r="L5" s="33" t="str"/>
      <x:c r="M5" s="39" t="n">
        <x:f>IF(F5=0,"口径异常",G5/F5)</x:f>
        <x:v>1</x:v>
      </x:c>
      <x:c r="N5" s="33" t="str">
        <x:f>IF(AND(M5&gt;=0.9,H5&gt;=0.9,I5&gt;=80),"是","否")</x:f>
        <x:v>否</x:v>
      </x:c>
      <x:c r="O5" s="33" t="str">
        <x:f>IF(COUNTIF($A$2:$A$41,A5)&gt;1,"重复编号",IF(OR(F5&lt;=0,G5&gt;F5),"课时异常",IF(OR(J5&lt;1,J5&gt;5),"满意度越界",IF(OR(H5="",I5=""),"关键值缺失",""))))</x:f>
      </x:c>
    </x:row>
    <x:row r="6">
      <x:c r="A6" s="33" t="str">
        <x:v>E005</x:v>
      </x:c>
      <x:c r="B6" s="33" t="str">
        <x:v>周晨</x:v>
      </x:c>
      <x:c r="C6" s="33" t="str">
        <x:v>客户服务部</x:v>
      </x:c>
      <x:c r="D6" s="33" t="str">
        <x:v>营销支持</x:v>
      </x:c>
      <x:c r="E6" s="36" t="n">
        <x:v>46194</x:v>
      </x:c>
      <x:c r="F6" s="33" t="n">
        <x:v>16</x:v>
      </x:c>
      <x:c r="G6" s="33" t="n">
        <x:v>12</x:v>
      </x:c>
      <x:c r="H6" s="39" t="n">
        <x:v>0.9</x:v>
      </x:c>
      <x:c r="I6" s="33" t="n">
        <x:v>92</x:v>
      </x:c>
      <x:c r="J6" s="42" t="n">
        <x:v>4.5</x:v>
      </x:c>
      <x:c r="K6" s="33" t="str">
        <x:v>否</x:v>
      </x:c>
      <x:c r="L6" s="33" t="str"/>
      <x:c r="M6" s="39" t="n">
        <x:f>IF(F6=0,"口径异常",G6/F6)</x:f>
        <x:v>0.75</x:v>
      </x:c>
      <x:c r="N6" s="33" t="str">
        <x:f>IF(AND(M6&gt;=0.9,H6&gt;=0.9,I6&gt;=80),"是","否")</x:f>
        <x:v>否</x:v>
      </x:c>
      <x:c r="O6" s="33" t="str">
        <x:f>IF(COUNTIF($A$2:$A$41,A6)&gt;1,"重复编号",IF(OR(F6&lt;=0,G6&gt;F6),"课时异常",IF(OR(J6&lt;1,J6&gt;5),"满意度越界",IF(OR(H6="",I6=""),"关键值缺失",""))))</x:f>
      </x:c>
    </x:row>
    <x:row r="7">
      <x:c r="A7" s="33" t="str">
        <x:v>E006</x:v>
      </x:c>
      <x:c r="B7" s="33" t="str">
        <x:v>吴宇</x:v>
      </x:c>
      <x:c r="C7" s="33" t="str">
        <x:v>北京分公司</x:v>
      </x:c>
      <x:c r="D7" s="33" t="str">
        <x:v>运营管理</x:v>
      </x:c>
      <x:c r="E7" s="36" t="n">
        <x:v>46195</x:v>
      </x:c>
      <x:c r="F7" s="33" t="n">
        <x:v>16</x:v>
      </x:c>
      <x:c r="G7" s="33" t="n">
        <x:v>13</x:v>
      </x:c>
      <x:c r="H7" s="39" t="n">
        <x:v>0.97</x:v>
      </x:c>
      <x:c r="I7" s="33" t="n">
        <x:v>72</x:v>
      </x:c>
      <x:c r="J7" s="42" t="n">
        <x:v>4.8</x:v>
      </x:c>
      <x:c r="K7" s="33" t="str">
        <x:v>是</x:v>
      </x:c>
      <x:c r="L7" s="33" t="str"/>
      <x:c r="M7" s="39" t="n">
        <x:f>IF(F7=0,"口径异常",G7/F7)</x:f>
        <x:v>0.8125</x:v>
      </x:c>
      <x:c r="N7" s="33" t="str">
        <x:f>IF(AND(M7&gt;=0.9,H7&gt;=0.9,I7&gt;=80),"是","否")</x:f>
        <x:v>否</x:v>
      </x:c>
      <x:c r="O7" s="33" t="str">
        <x:f>IF(COUNTIF($A$2:$A$41,A7)&gt;1,"重复编号",IF(OR(F7&lt;=0,G7&gt;F7),"课时异常",IF(OR(J7&lt;1,J7&gt;5),"满意度越界",IF(OR(H7="",I7=""),"关键值缺失",""))))</x:f>
      </x:c>
    </x:row>
    <x:row r="8">
      <x:c r="A8" s="33" t="str">
        <x:v>E007</x:v>
      </x:c>
      <x:c r="B8" s="33" t="str">
        <x:v>郑禾</x:v>
      </x:c>
      <x:c r="C8" s="33" t="str">
        <x:v>河北分公司</x:v>
      </x:c>
      <x:c r="D8" s="33" t="str">
        <x:v>综合管理</x:v>
      </x:c>
      <x:c r="E8" s="36" t="n">
        <x:v>46196</x:v>
      </x:c>
      <x:c r="F8" s="33" t="n">
        <x:v>16</x:v>
      </x:c>
      <x:c r="G8" s="33" t="n">
        <x:v>14</x:v>
      </x:c>
      <x:c r="H8" s="39" t="n">
        <x:v>0.81</x:v>
      </x:c>
      <x:c r="I8" s="33" t="n">
        <x:v>83</x:v>
      </x:c>
      <x:c r="J8" s="42" t="n">
        <x:v>3</x:v>
      </x:c>
      <x:c r="K8" s="33" t="str">
        <x:v>否</x:v>
      </x:c>
      <x:c r="L8" s="33" t="str"/>
      <x:c r="M8" s="39" t="n">
        <x:f>IF(F8=0,"口径异常",G8/F8)</x:f>
        <x:v>0.875</x:v>
      </x:c>
      <x:c r="N8" s="33" t="str">
        <x:f>IF(AND(M8&gt;=0.9,H8&gt;=0.9,I8&gt;=80),"是","否")</x:f>
        <x:v>否</x:v>
      </x:c>
      <x:c r="O8" s="33" t="str">
        <x:f>IF(COUNTIF($A$2:$A$41,A8)&gt;1,"重复编号",IF(OR(F8&lt;=0,G8&gt;F8),"课时异常",IF(OR(J8&lt;1,J8&gt;5),"满意度越界",IF(OR(H8="",I8=""),"关键值缺失",""))))</x:f>
      </x:c>
    </x:row>
    <x:row r="9">
      <x:c r="A9" s="33" t="str">
        <x:v>E008</x:v>
      </x:c>
      <x:c r="B9" s="33" t="str">
        <x:v>王安</x:v>
      </x:c>
      <x:c r="C9" s="33" t="str">
        <x:v>河南分公司</x:v>
      </x:c>
      <x:c r="D9" s="33" t="str">
        <x:v>客户服务</x:v>
      </x:c>
      <x:c r="E9" s="36" t="n">
        <x:v>46197</x:v>
      </x:c>
      <x:c r="F9" s="33" t="n">
        <x:v>16</x:v>
      </x:c>
      <x:c r="G9" s="33" t="n">
        <x:v>15</x:v>
      </x:c>
      <x:c r="H9" s="39" t="n">
        <x:v>0.88</x:v>
      </x:c>
      <x:c r="I9" s="33" t="n">
        <x:v>94</x:v>
      </x:c>
      <x:c r="J9" s="42" t="n">
        <x:v>3.3</x:v>
      </x:c>
      <x:c r="K9" s="33" t="str">
        <x:v>否</x:v>
      </x:c>
      <x:c r="L9" s="33" t="str"/>
      <x:c r="M9" s="39" t="n">
        <x:f>IF(F9=0,"口径异常",G9/F9)</x:f>
        <x:v>0.9375</x:v>
      </x:c>
      <x:c r="N9" s="33" t="str">
        <x:f>IF(AND(M9&gt;=0.9,H9&gt;=0.9,I9&gt;=80),"是","否")</x:f>
        <x:v>否</x:v>
      </x:c>
      <x:c r="O9" s="33" t="str">
        <x:f>IF(COUNTIF($A$2:$A$41,A9)&gt;1,"重复编号",IF(OR(F9&lt;=0,G9&gt;F9),"课时异常",IF(OR(J9&lt;1,J9&gt;5),"满意度越界",IF(OR(H9="",I9=""),"关键值缺失",""))))</x:f>
      </x:c>
    </x:row>
    <x:row r="10">
      <x:c r="A10" s="33" t="str">
        <x:v>E009</x:v>
      </x:c>
      <x:c r="B10" s="33" t="str">
        <x:v>冯言</x:v>
      </x:c>
      <x:c r="C10" s="33" t="str">
        <x:v>运营支持部</x:v>
      </x:c>
      <x:c r="D10" s="33" t="str">
        <x:v>培训管理</x:v>
      </x:c>
      <x:c r="E10" s="36" t="n">
        <x:v>46198</x:v>
      </x:c>
      <x:c r="F10" s="33" t="n">
        <x:v>16</x:v>
      </x:c>
      <x:c r="G10" s="33" t="n">
        <x:v>16</x:v>
      </x:c>
      <x:c r="H10" s="39" t="n">
        <x:v>0.95</x:v>
      </x:c>
      <x:c r="I10" s="33" t="n">
        <x:v>74</x:v>
      </x:c>
      <x:c r="J10" s="42" t="n">
        <x:v>3.6</x:v>
      </x:c>
      <x:c r="K10" s="33" t="str">
        <x:v>是</x:v>
      </x:c>
      <x:c r="L10" s="33" t="str"/>
      <x:c r="M10" s="39" t="n">
        <x:f>IF(F10=0,"口径异常",G10/F10)</x:f>
        <x:v>1</x:v>
      </x:c>
      <x:c r="N10" s="33" t="str">
        <x:f>IF(AND(M10&gt;=0.9,H10&gt;=0.9,I10&gt;=80),"是","否")</x:f>
        <x:v>否</x:v>
      </x:c>
      <x:c r="O10" s="33" t="str">
        <x:f>IF(COUNTIF($A$2:$A$41,A10)&gt;1,"重复编号",IF(OR(F10&lt;=0,G10&gt;F10),"课时异常",IF(OR(J10&lt;1,J10&gt;5),"满意度越界",IF(OR(H10="",I10=""),"关键值缺失",""))))</x:f>
      </x:c>
    </x:row>
    <x:row r="11">
      <x:c r="A11" s="33" t="str">
        <x:v>E010</x:v>
      </x:c>
      <x:c r="B11" s="33" t="str">
        <x:v>陈悦</x:v>
      </x:c>
      <x:c r="C11" s="33" t="str">
        <x:v>客户服务部</x:v>
      </x:c>
      <x:c r="D11" s="33" t="str">
        <x:v>营销支持</x:v>
      </x:c>
      <x:c r="E11" s="36" t="n">
        <x:v>46199</x:v>
      </x:c>
      <x:c r="F11" s="33" t="n">
        <x:v>16</x:v>
      </x:c>
      <x:c r="G11" s="33" t="n">
        <x:v>12</x:v>
      </x:c>
      <x:c r="H11" s="39" t="n">
        <x:v>0.79</x:v>
      </x:c>
      <x:c r="I11" s="33" t="n">
        <x:v>85</x:v>
      </x:c>
      <x:c r="J11" s="42" t="n">
        <x:v>3.9</x:v>
      </x:c>
      <x:c r="K11" s="33" t="str">
        <x:v>否</x:v>
      </x:c>
      <x:c r="L11" s="33" t="str"/>
      <x:c r="M11" s="39" t="n">
        <x:f>IF(F11=0,"口径异常",G11/F11)</x:f>
        <x:v>0.75</x:v>
      </x:c>
      <x:c r="N11" s="33" t="str">
        <x:f>IF(AND(M11&gt;=0.9,H11&gt;=0.9,I11&gt;=80),"是","否")</x:f>
        <x:v>否</x:v>
      </x:c>
      <x:c r="O11" s="33" t="str">
        <x:f>IF(COUNTIF($A$2:$A$41,A11)&gt;1,"重复编号",IF(OR(F11&lt;=0,G11&gt;F11),"课时异常",IF(OR(J11&lt;1,J11&gt;5),"满意度越界",IF(OR(H11="",I11=""),"关键值缺失",""))))</x:f>
      </x:c>
    </x:row>
    <x:row r="12">
      <x:c r="A12" s="33" t="str">
        <x:v>E011</x:v>
      </x:c>
      <x:c r="B12" s="33" t="str">
        <x:v>褚桐</x:v>
      </x:c>
      <x:c r="C12" s="33" t="str">
        <x:v>北京分公司</x:v>
      </x:c>
      <x:c r="D12" s="33" t="str">
        <x:v>运营管理</x:v>
      </x:c>
      <x:c r="E12" s="36" t="n">
        <x:v>46200</x:v>
      </x:c>
      <x:c r="F12" s="33" t="n">
        <x:v>16</x:v>
      </x:c>
      <x:c r="G12" s="33" t="n">
        <x:v>13</x:v>
      </x:c>
      <x:c r="H12" s="39" t="n">
        <x:v>0.86</x:v>
      </x:c>
      <x:c r="I12" s="33" t="n">
        <x:v>96</x:v>
      </x:c>
      <x:c r="J12" s="42" t="n">
        <x:v>4.2</x:v>
      </x:c>
      <x:c r="K12" s="33" t="str">
        <x:v>否</x:v>
      </x:c>
      <x:c r="L12" s="33" t="str"/>
      <x:c r="M12" s="39" t="n">
        <x:f>IF(F12=0,"口径异常",G12/F12)</x:f>
        <x:v>0.8125</x:v>
      </x:c>
      <x:c r="N12" s="33" t="str">
        <x:f>IF(AND(M12&gt;=0.9,H12&gt;=0.9,I12&gt;=80),"是","否")</x:f>
        <x:v>否</x:v>
      </x:c>
      <x:c r="O12" s="33" t="str">
        <x:f>IF(COUNTIF($A$2:$A$41,A12)&gt;1,"重复编号",IF(OR(F12&lt;=0,G12&gt;F12),"课时异常",IF(OR(J12&lt;1,J12&gt;5),"满意度越界",IF(OR(H12="",I12=""),"关键值缺失",""))))</x:f>
      </x:c>
    </x:row>
    <x:row r="13">
      <x:c r="A13" s="33" t="str">
        <x:v>E012</x:v>
      </x:c>
      <x:c r="B13" s="33" t="str">
        <x:v>卫宁</x:v>
      </x:c>
      <x:c r="C13" s="33" t="str">
        <x:v>河北分公司</x:v>
      </x:c>
      <x:c r="D13" s="33" t="str">
        <x:v>综合管理</x:v>
      </x:c>
      <x:c r="E13" s="36" t="n">
        <x:v>46189</x:v>
      </x:c>
      <x:c r="F13" s="33" t="n">
        <x:v>16</x:v>
      </x:c>
      <x:c r="G13" s="33" t="n">
        <x:v>14</x:v>
      </x:c>
      <x:c r="H13" s="39" t="n">
        <x:v>0.93</x:v>
      </x:c>
      <x:c r="I13" s="33" t="n">
        <x:v>76</x:v>
      </x:c>
      <x:c r="J13" s="42" t="n">
        <x:v>4.5</x:v>
      </x:c>
      <x:c r="K13" s="33" t="str">
        <x:v>是</x:v>
      </x:c>
      <x:c r="L13" s="33" t="str"/>
      <x:c r="M13" s="39" t="n">
        <x:f>IF(F13=0,"口径异常",G13/F13)</x:f>
        <x:v>0.875</x:v>
      </x:c>
      <x:c r="N13" s="33" t="str">
        <x:f>IF(AND(M13&gt;=0.9,H13&gt;=0.9,I13&gt;=80),"是","否")</x:f>
        <x:v>否</x:v>
      </x:c>
      <x:c r="O13" s="33" t="str">
        <x:f>IF(COUNTIF($A$2:$A$41,A13)&gt;1,"重复编号",IF(OR(F13&lt;=0,G13&gt;F13),"课时异常",IF(OR(J13&lt;1,J13&gt;5),"满意度越界",IF(OR(H13="",I13=""),"关键值缺失",""))))</x:f>
      </x:c>
    </x:row>
    <x:row r="14">
      <x:c r="A14" s="33" t="str">
        <x:v>E013</x:v>
      </x:c>
      <x:c r="B14" s="33" t="str">
        <x:v>赵然</x:v>
      </x:c>
      <x:c r="C14" s="33" t="str">
        <x:v>河南分公司</x:v>
      </x:c>
      <x:c r="D14" s="33" t="str">
        <x:v>客户服务</x:v>
      </x:c>
      <x:c r="E14" s="36" t="n">
        <x:v>46190</x:v>
      </x:c>
      <x:c r="F14" s="33" t="n">
        <x:v>16</x:v>
      </x:c>
      <x:c r="G14" s="33" t="n">
        <x:v>15</x:v>
      </x:c>
      <x:c r="H14" s="39" t="n">
        <x:v>1</x:v>
      </x:c>
      <x:c r="I14" s="33" t="n">
        <x:v>87</x:v>
      </x:c>
      <x:c r="J14" s="42" t="n">
        <x:v>4.8</x:v>
      </x:c>
      <x:c r="K14" s="33" t="str">
        <x:v>否</x:v>
      </x:c>
      <x:c r="L14" s="33" t="str"/>
      <x:c r="M14" s="39" t="n">
        <x:f>IF(F14=0,"口径异常",G14/F14)</x:f>
        <x:v>0.9375</x:v>
      </x:c>
      <x:c r="N14" s="33" t="str">
        <x:f>IF(AND(M14&gt;=0.9,H14&gt;=0.9,I14&gt;=80),"是","否")</x:f>
        <x:v>是</x:v>
      </x:c>
      <x:c r="O14" s="33" t="str">
        <x:f>IF(COUNTIF($A$2:$A$41,A14)&gt;1,"重复编号",IF(OR(F14&lt;=0,G14&gt;F14),"课时异常",IF(OR(J14&lt;1,J14&gt;5),"满意度越界",IF(OR(H14="",I14=""),"关键值缺失",""))))</x:f>
      </x:c>
    </x:row>
    <x:row r="15">
      <x:c r="A15" s="33" t="str">
        <x:v>E014</x:v>
      </x:c>
      <x:c r="B15" s="33" t="str">
        <x:v>钱清</x:v>
      </x:c>
      <x:c r="C15" s="33" t="str">
        <x:v>运营支持部</x:v>
      </x:c>
      <x:c r="D15" s="33" t="str">
        <x:v>培训管理</x:v>
      </x:c>
      <x:c r="E15" s="36" t="n">
        <x:v>46191</x:v>
      </x:c>
      <x:c r="F15" s="33" t="n">
        <x:v>16</x:v>
      </x:c>
      <x:c r="G15" s="33" t="n">
        <x:v>16</x:v>
      </x:c>
      <x:c r="H15" s="39" t="n">
        <x:v>0.84</x:v>
      </x:c>
      <x:c r="I15" s="33" t="n">
        <x:v>98</x:v>
      </x:c>
      <x:c r="J15" s="42" t="n">
        <x:v>3</x:v>
      </x:c>
      <x:c r="K15" s="33" t="str">
        <x:v>否</x:v>
      </x:c>
      <x:c r="L15" s="33" t="str"/>
      <x:c r="M15" s="39" t="n">
        <x:f>IF(F15=0,"口径异常",G15/F15)</x:f>
        <x:v>1</x:v>
      </x:c>
      <x:c r="N15" s="33" t="str">
        <x:f>IF(AND(M15&gt;=0.9,H15&gt;=0.9,I15&gt;=80),"是","否")</x:f>
        <x:v>否</x:v>
      </x:c>
      <x:c r="O15" s="33" t="str">
        <x:f>IF(COUNTIF($A$2:$A$41,A15)&gt;1,"重复编号",IF(OR(F15&lt;=0,G15&gt;F15),"课时异常",IF(OR(J15&lt;1,J15&gt;5),"满意度越界",IF(OR(H15="",I15=""),"关键值缺失",""))))</x:f>
        <x:v>重复编号</x:v>
      </x:c>
    </x:row>
    <x:row r="16">
      <x:c r="A16" s="33" t="str">
        <x:v>E015</x:v>
      </x:c>
      <x:c r="B16" s="33" t="str">
        <x:v>孙琪</x:v>
      </x:c>
      <x:c r="C16" s="33" t="str">
        <x:v>客户服务部</x:v>
      </x:c>
      <x:c r="D16" s="33" t="str">
        <x:v>营销支持</x:v>
      </x:c>
      <x:c r="E16" s="36" t="n">
        <x:v>46192</x:v>
      </x:c>
      <x:c r="F16" s="33" t="n">
        <x:v>16</x:v>
      </x:c>
      <x:c r="G16" s="33" t="n">
        <x:v>12</x:v>
      </x:c>
      <x:c r="H16" s="39" t="n">
        <x:v>0.91</x:v>
      </x:c>
      <x:c r="I16" s="33" t="n">
        <x:v>78</x:v>
      </x:c>
      <x:c r="J16" s="42" t="n">
        <x:v>3.3</x:v>
      </x:c>
      <x:c r="K16" s="33" t="str">
        <x:v>是</x:v>
      </x:c>
      <x:c r="L16" s="33" t="str"/>
      <x:c r="M16" s="39" t="n">
        <x:f>IF(F16=0,"口径异常",G16/F16)</x:f>
        <x:v>0.75</x:v>
      </x:c>
      <x:c r="N16" s="33" t="str">
        <x:f>IF(AND(M16&gt;=0.9,H16&gt;=0.9,I16&gt;=80),"是","否")</x:f>
        <x:v>否</x:v>
      </x:c>
      <x:c r="O16" s="33" t="str">
        <x:f>IF(COUNTIF($A$2:$A$41,A16)&gt;1,"重复编号",IF(OR(F16&lt;=0,G16&gt;F16),"课时异常",IF(OR(J16&lt;1,J16&gt;5),"满意度越界",IF(OR(H16="",I16=""),"关键值缺失",""))))</x:f>
      </x:c>
    </x:row>
    <x:row r="17">
      <x:c r="A17" s="33" t="str">
        <x:v>E016</x:v>
      </x:c>
      <x:c r="B17" s="33" t="str">
        <x:v>李楠</x:v>
      </x:c>
      <x:c r="C17" s="33" t="str">
        <x:v>北京分公司</x:v>
      </x:c>
      <x:c r="D17" s="33" t="str">
        <x:v>运营管理</x:v>
      </x:c>
      <x:c r="E17" s="36" t="n">
        <x:v>46193</x:v>
      </x:c>
      <x:c r="F17" s="33" t="n">
        <x:v>16</x:v>
      </x:c>
      <x:c r="G17" s="33" t="n">
        <x:v>13</x:v>
      </x:c>
      <x:c r="H17" s="39" t="n">
        <x:v>0.98</x:v>
      </x:c>
      <x:c r="I17" s="33" t="n">
        <x:v>89</x:v>
      </x:c>
      <x:c r="J17" s="42" t="n">
        <x:v>3.6</x:v>
      </x:c>
      <x:c r="K17" s="33" t="str">
        <x:v>否</x:v>
      </x:c>
      <x:c r="L17" s="33" t="str"/>
      <x:c r="M17" s="39" t="n">
        <x:f>IF(F17=0,"口径异常",G17/F17)</x:f>
        <x:v>0.8125</x:v>
      </x:c>
      <x:c r="N17" s="33" t="str">
        <x:f>IF(AND(M17&gt;=0.9,H17&gt;=0.9,I17&gt;=80),"是","否")</x:f>
        <x:v>否</x:v>
      </x:c>
      <x:c r="O17" s="33" t="str">
        <x:f>IF(COUNTIF($A$2:$A$41,A17)&gt;1,"重复编号",IF(OR(F17&lt;=0,G17&gt;F17),"课时异常",IF(OR(J17&lt;1,J17&gt;5),"满意度越界",IF(OR(H17="",I17=""),"关键值缺失",""))))</x:f>
      </x:c>
    </x:row>
    <x:row r="18">
      <x:c r="A18" s="33" t="str">
        <x:v>E017</x:v>
      </x:c>
      <x:c r="B18" s="33" t="str">
        <x:v>周晨</x:v>
      </x:c>
      <x:c r="C18" s="33" t="str">
        <x:v>河北分公司</x:v>
      </x:c>
      <x:c r="D18" s="33" t="str">
        <x:v>综合管理</x:v>
      </x:c>
      <x:c r="E18" s="36" t="n">
        <x:v>46194</x:v>
      </x:c>
      <x:c r="F18" s="33" t="n">
        <x:v>16</x:v>
      </x:c>
      <x:c r="G18" s="33" t="n">
        <x:v>14</x:v>
      </x:c>
      <x:c r="H18" s="39" t="n">
        <x:v>0.82</x:v>
      </x:c>
      <x:c r="I18" s="33" t="n">
        <x:v>69</x:v>
      </x:c>
      <x:c r="J18" s="42" t="n">
        <x:v>3.9</x:v>
      </x:c>
      <x:c r="K18" s="33" t="str">
        <x:v>是</x:v>
      </x:c>
      <x:c r="L18" s="33" t="str"/>
      <x:c r="M18" s="39" t="n">
        <x:f>IF(F18=0,"口径异常",G18/F18)</x:f>
        <x:v>0.875</x:v>
      </x:c>
      <x:c r="N18" s="33" t="str">
        <x:f>IF(AND(M18&gt;=0.9,H18&gt;=0.9,I18&gt;=80),"是","否")</x:f>
        <x:v>否</x:v>
      </x:c>
      <x:c r="O18" s="33" t="str">
        <x:f>IF(COUNTIF($A$2:$A$41,A18)&gt;1,"重复编号",IF(OR(F18&lt;=0,G18&gt;F18),"课时异常",IF(OR(J18&lt;1,J18&gt;5),"满意度越界",IF(OR(H18="",I18=""),"关键值缺失",""))))</x:f>
      </x:c>
    </x:row>
    <x:row r="19">
      <x:c r="A19" s="33" t="str">
        <x:v>E018</x:v>
      </x:c>
      <x:c r="B19" s="33" t="str">
        <x:v>吴宇</x:v>
      </x:c>
      <x:c r="C19" s="33" t="str">
        <x:v>河南分公司</x:v>
      </x:c>
      <x:c r="D19" s="33" t="str">
        <x:v>客户服务</x:v>
      </x:c>
      <x:c r="E19" s="36" t="n">
        <x:v>46195</x:v>
      </x:c>
      <x:c r="F19" s="33" t="n">
        <x:v>16</x:v>
      </x:c>
      <x:c r="G19" s="33" t="n">
        <x:v>15</x:v>
      </x:c>
      <x:c r="H19" s="39" t="n">
        <x:v>0.89</x:v>
      </x:c>
      <x:c r="I19" s="33" t="n">
        <x:v>80</x:v>
      </x:c>
      <x:c r="J19" s="42" t="n">
        <x:v>4.2</x:v>
      </x:c>
      <x:c r="K19" s="33" t="str">
        <x:v>否</x:v>
      </x:c>
      <x:c r="L19" s="33" t="str"/>
      <x:c r="M19" s="39" t="n">
        <x:f>IF(F19=0,"口径异常",G19/F19)</x:f>
        <x:v>0.9375</x:v>
      </x:c>
      <x:c r="N19" s="33" t="str">
        <x:f>IF(AND(M19&gt;=0.9,H19&gt;=0.9,I19&gt;=80),"是","否")</x:f>
        <x:v>否</x:v>
      </x:c>
      <x:c r="O19" s="33" t="str">
        <x:f>IF(COUNTIF($A$2:$A$41,A19)&gt;1,"重复编号",IF(OR(F19&lt;=0,G19&gt;F19),"课时异常",IF(OR(J19&lt;1,J19&gt;5),"满意度越界",IF(OR(H19="",I19=""),"关键值缺失",""))))</x:f>
      </x:c>
    </x:row>
    <x:row r="20">
      <x:c r="A20" s="33" t="str">
        <x:v>E019</x:v>
      </x:c>
      <x:c r="B20" s="33" t="str">
        <x:v>郑禾</x:v>
      </x:c>
      <x:c r="C20" s="33" t="str">
        <x:v>运营支持部</x:v>
      </x:c>
      <x:c r="D20" s="33" t="str">
        <x:v>培训管理</x:v>
      </x:c>
      <x:c r="E20" s="36" t="n">
        <x:v>46196</x:v>
      </x:c>
      <x:c r="F20" s="33" t="n">
        <x:v>16</x:v>
      </x:c>
      <x:c r="G20" s="33" t="n">
        <x:v>16</x:v>
      </x:c>
      <x:c r="H20" s="39" t="n">
        <x:v>0.96</x:v>
      </x:c>
      <x:c r="I20" s="33" t="n">
        <x:v>91</x:v>
      </x:c>
      <x:c r="J20" s="42" t="n">
        <x:v>4.5</x:v>
      </x:c>
      <x:c r="K20" s="33" t="str">
        <x:v>否</x:v>
      </x:c>
      <x:c r="L20" s="33" t="str"/>
      <x:c r="M20" s="39" t="n">
        <x:f>IF(F20=0,"口径异常",G20/F20)</x:f>
        <x:v>1</x:v>
      </x:c>
      <x:c r="N20" s="33" t="str">
        <x:f>IF(AND(M20&gt;=0.9,H20&gt;=0.9,I20&gt;=80),"是","否")</x:f>
        <x:v>是</x:v>
      </x:c>
      <x:c r="O20" s="33" t="str">
        <x:f>IF(COUNTIF($A$2:$A$41,A20)&gt;1,"重复编号",IF(OR(F20&lt;=0,G20&gt;F20),"课时异常",IF(OR(J20&lt;1,J20&gt;5),"满意度越界",IF(OR(H20="",I20=""),"关键值缺失",""))))</x:f>
      </x:c>
    </x:row>
    <x:row r="21">
      <x:c r="A21" s="33" t="str">
        <x:v>E020</x:v>
      </x:c>
      <x:c r="B21" s="33" t="str">
        <x:v>王安</x:v>
      </x:c>
      <x:c r="C21" s="33" t="str">
        <x:v>客户服务部</x:v>
      </x:c>
      <x:c r="D21" s="33" t="str">
        <x:v>营销支持</x:v>
      </x:c>
      <x:c r="E21" s="36" t="n">
        <x:v>46197</x:v>
      </x:c>
      <x:c r="F21" s="33" t="n">
        <x:v>16</x:v>
      </x:c>
      <x:c r="G21" s="33" t="n">
        <x:v>12</x:v>
      </x:c>
      <x:c r="H21" s="39" t="n">
        <x:v>0.8</x:v>
      </x:c>
      <x:c r="I21" s="33" t="n">
        <x:v>71</x:v>
      </x:c>
      <x:c r="J21" s="42" t="n">
        <x:v>4.8</x:v>
      </x:c>
      <x:c r="K21" s="33" t="str">
        <x:v>是</x:v>
      </x:c>
      <x:c r="L21" s="33" t="str"/>
      <x:c r="M21" s="39" t="n">
        <x:f>IF(F21=0,"口径异常",G21/F21)</x:f>
        <x:v>0.75</x:v>
      </x:c>
      <x:c r="N21" s="33" t="str">
        <x:f>IF(AND(M21&gt;=0.9,H21&gt;=0.9,I21&gt;=80),"是","否")</x:f>
        <x:v>否</x:v>
      </x:c>
      <x:c r="O21" s="33" t="str">
        <x:f>IF(COUNTIF($A$2:$A$41,A21)&gt;1,"重复编号",IF(OR(F21&lt;=0,G21&gt;F21),"课时异常",IF(OR(J21&lt;1,J21&gt;5),"满意度越界",IF(OR(H21="",I21=""),"关键值缺失",""))))</x:f>
      </x:c>
    </x:row>
    <x:row r="22">
      <x:c r="A22" s="33" t="str">
        <x:v>E021</x:v>
      </x:c>
      <x:c r="B22" s="33" t="str">
        <x:v>冯言</x:v>
      </x:c>
      <x:c r="C22" s="33" t="str">
        <x:v>北京分公司</x:v>
      </x:c>
      <x:c r="D22" s="33" t="str">
        <x:v>运营管理</x:v>
      </x:c>
      <x:c r="E22" s="36" t="n">
        <x:v>46198</x:v>
      </x:c>
      <x:c r="F22" s="33" t="n">
        <x:v>16</x:v>
      </x:c>
      <x:c r="G22" s="33" t="n">
        <x:v>13</x:v>
      </x:c>
      <x:c r="H22" s="39" t="n">
        <x:v>0.87</x:v>
      </x:c>
      <x:c r="I22" s="33" t="n">
        <x:v>82</x:v>
      </x:c>
      <x:c r="J22" s="42" t="n">
        <x:v>3</x:v>
      </x:c>
      <x:c r="K22" s="33" t="str">
        <x:v>否</x:v>
      </x:c>
      <x:c r="L22" s="33" t="str"/>
      <x:c r="M22" s="39" t="n">
        <x:f>IF(F22=0,"口径异常",G22/F22)</x:f>
        <x:v>0.8125</x:v>
      </x:c>
      <x:c r="N22" s="33" t="str">
        <x:f>IF(AND(M22&gt;=0.9,H22&gt;=0.9,I22&gt;=80),"是","否")</x:f>
        <x:v>否</x:v>
      </x:c>
      <x:c r="O22" s="33" t="str">
        <x:f>IF(COUNTIF($A$2:$A$41,A22)&gt;1,"重复编号",IF(OR(F22&lt;=0,G22&gt;F22),"课时异常",IF(OR(J22&lt;1,J22&gt;5),"满意度越界",IF(OR(H22="",I22=""),"关键值缺失",""))))</x:f>
      </x:c>
    </x:row>
    <x:row r="23">
      <x:c r="A23" s="33" t="str">
        <x:v>E022</x:v>
      </x:c>
      <x:c r="B23" s="33" t="str">
        <x:v>陈悦</x:v>
      </x:c>
      <x:c r="C23" s="33" t="str">
        <x:v>河北分公司</x:v>
      </x:c>
      <x:c r="D23" s="33" t="str">
        <x:v>综合管理</x:v>
      </x:c>
      <x:c r="E23" s="36" t="n">
        <x:v>46199</x:v>
      </x:c>
      <x:c r="F23" s="33" t="n">
        <x:v>16</x:v>
      </x:c>
      <x:c r="G23" s="33" t="n">
        <x:v>14</x:v>
      </x:c>
      <x:c r="H23" s="39" t="n">
        <x:v>0.94</x:v>
      </x:c>
      <x:c r="I23" s="33" t="n">
        <x:v>93</x:v>
      </x:c>
      <x:c r="J23" s="42" t="n">
        <x:v>3.3</x:v>
      </x:c>
      <x:c r="K23" s="33" t="str">
        <x:v>否</x:v>
      </x:c>
      <x:c r="L23" s="33" t="str"/>
      <x:c r="M23" s="39" t="n">
        <x:f>IF(F23=0,"口径异常",G23/F23)</x:f>
        <x:v>0.875</x:v>
      </x:c>
      <x:c r="N23" s="33" t="str">
        <x:f>IF(AND(M23&gt;=0.9,H23&gt;=0.9,I23&gt;=80),"是","否")</x:f>
        <x:v>否</x:v>
      </x:c>
      <x:c r="O23" s="33" t="str">
        <x:f>IF(COUNTIF($A$2:$A$41,A23)&gt;1,"重复编号",IF(OR(F23&lt;=0,G23&gt;F23),"课时异常",IF(OR(J23&lt;1,J23&gt;5),"满意度越界",IF(OR(H23="",I23=""),"关键值缺失",""))))</x:f>
      </x:c>
    </x:row>
    <x:row r="24">
      <x:c r="A24" s="33" t="str">
        <x:v>E023</x:v>
      </x:c>
      <x:c r="B24" s="33" t="str">
        <x:v>褚桐</x:v>
      </x:c>
      <x:c r="C24" s="33" t="str">
        <x:v>河南分公司</x:v>
      </x:c>
      <x:c r="D24" s="33" t="str">
        <x:v>客户服务</x:v>
      </x:c>
      <x:c r="E24" s="36" t="n">
        <x:v>46200</x:v>
      </x:c>
      <x:c r="F24" s="33" t="n">
        <x:v>16</x:v>
      </x:c>
      <x:c r="G24" s="33" t="n">
        <x:v>15</x:v>
      </x:c>
      <x:c r="H24" s="39" t="n">
        <x:v>0.78</x:v>
      </x:c>
      <x:c r="I24" s="33" t="n">
        <x:v>73</x:v>
      </x:c>
      <x:c r="J24" s="42" t="n">
        <x:v>3.6</x:v>
      </x:c>
      <x:c r="K24" s="33" t="str">
        <x:v>是</x:v>
      </x:c>
      <x:c r="L24" s="33" t="str"/>
      <x:c r="M24" s="39" t="n">
        <x:f>IF(F24=0,"口径异常",G24/F24)</x:f>
        <x:v>0.9375</x:v>
      </x:c>
      <x:c r="N24" s="33" t="str">
        <x:f>IF(AND(M24&gt;=0.9,H24&gt;=0.9,I24&gt;=80),"是","否")</x:f>
        <x:v>否</x:v>
      </x:c>
      <x:c r="O24" s="33" t="str">
        <x:f>IF(COUNTIF($A$2:$A$41,A24)&gt;1,"重复编号",IF(OR(F24&lt;=0,G24&gt;F24),"课时异常",IF(OR(J24&lt;1,J24&gt;5),"满意度越界",IF(OR(H24="",I24=""),"关键值缺失",""))))</x:f>
      </x:c>
    </x:row>
    <x:row r="25">
      <x:c r="A25" s="33" t="str">
        <x:v>E024</x:v>
      </x:c>
      <x:c r="B25" s="33" t="str">
        <x:v>卫宁</x:v>
      </x:c>
      <x:c r="C25" s="33" t="str">
        <x:v>运营支持部</x:v>
      </x:c>
      <x:c r="D25" s="33" t="str">
        <x:v>培训管理</x:v>
      </x:c>
      <x:c r="E25" s="36" t="n">
        <x:v>46189</x:v>
      </x:c>
      <x:c r="F25" s="33" t="n">
        <x:v>16</x:v>
      </x:c>
      <x:c r="G25" s="33" t="n">
        <x:v>16</x:v>
      </x:c>
      <x:c r="H25" s="39" t="n">
        <x:v>0.85</x:v>
      </x:c>
      <x:c r="I25" s="33" t="n">
        <x:v>84</x:v>
      </x:c>
      <x:c r="J25" s="42" t="n">
        <x:v>3.9</x:v>
      </x:c>
      <x:c r="K25" s="33" t="str">
        <x:v>否</x:v>
      </x:c>
      <x:c r="L25" s="33" t="str"/>
      <x:c r="M25" s="39" t="n">
        <x:f>IF(F25=0,"口径异常",G25/F25)</x:f>
        <x:v>1</x:v>
      </x:c>
      <x:c r="N25" s="33" t="str">
        <x:f>IF(AND(M25&gt;=0.9,H25&gt;=0.9,I25&gt;=80),"是","否")</x:f>
        <x:v>否</x:v>
      </x:c>
      <x:c r="O25" s="33" t="str">
        <x:f>IF(COUNTIF($A$2:$A$41,A25)&gt;1,"重复编号",IF(OR(F25&lt;=0,G25&gt;F25),"课时异常",IF(OR(J25&lt;1,J25&gt;5),"满意度越界",IF(OR(H25="",I25=""),"关键值缺失",""))))</x:f>
      </x:c>
    </x:row>
    <x:row r="26">
      <x:c r="A26" s="33" t="str">
        <x:v>E025</x:v>
      </x:c>
      <x:c r="B26" s="33" t="str">
        <x:v>赵然</x:v>
      </x:c>
      <x:c r="C26" s="33" t="str">
        <x:v>客户服务部</x:v>
      </x:c>
      <x:c r="D26" s="33" t="str">
        <x:v>营销支持</x:v>
      </x:c>
      <x:c r="E26" s="36" t="n">
        <x:v>46190</x:v>
      </x:c>
      <x:c r="F26" s="33" t="n">
        <x:v>16</x:v>
      </x:c>
      <x:c r="G26" s="33" t="n">
        <x:v>12</x:v>
      </x:c>
      <x:c r="H26" s="39" t="n">
        <x:v>0.92</x:v>
      </x:c>
      <x:c r="I26" s="33" t="n">
        <x:v>95</x:v>
      </x:c>
      <x:c r="J26" s="42" t="n">
        <x:v>4.2</x:v>
      </x:c>
      <x:c r="K26" s="33" t="str">
        <x:v>否</x:v>
      </x:c>
      <x:c r="L26" s="33" t="str"/>
      <x:c r="M26" s="39" t="n">
        <x:f>IF(F26=0,"口径异常",G26/F26)</x:f>
        <x:v>0.75</x:v>
      </x:c>
      <x:c r="N26" s="33" t="str">
        <x:f>IF(AND(M26&gt;=0.9,H26&gt;=0.9,I26&gt;=80),"是","否")</x:f>
        <x:v>否</x:v>
      </x:c>
      <x:c r="O26" s="33" t="str">
        <x:f>IF(COUNTIF($A$2:$A$41,A26)&gt;1,"重复编号",IF(OR(F26&lt;=0,G26&gt;F26),"课时异常",IF(OR(J26&lt;1,J26&gt;5),"满意度越界",IF(OR(H26="",I26=""),"关键值缺失",""))))</x:f>
      </x:c>
    </x:row>
    <x:row r="27">
      <x:c r="A27" s="33" t="str">
        <x:v>E026</x:v>
      </x:c>
      <x:c r="B27" s="33" t="str">
        <x:v>钱清</x:v>
      </x:c>
      <x:c r="C27" s="33" t="str">
        <x:v>北京分公司</x:v>
      </x:c>
      <x:c r="D27" s="33" t="str">
        <x:v>运营管理</x:v>
      </x:c>
      <x:c r="E27" s="36" t="n">
        <x:v>46191</x:v>
      </x:c>
      <x:c r="F27" s="33" t="n">
        <x:v>16</x:v>
      </x:c>
      <x:c r="G27" s="33" t="n">
        <x:v>13</x:v>
      </x:c>
      <x:c r="H27" s="39" t="n">
        <x:v>0.99</x:v>
      </x:c>
      <x:c r="I27" s="33" t="n">
        <x:v>75</x:v>
      </x:c>
      <x:c r="J27" s="42" t="n">
        <x:v>4.5</x:v>
      </x:c>
      <x:c r="K27" s="33" t="str">
        <x:v>是</x:v>
      </x:c>
      <x:c r="L27" s="33" t="str"/>
      <x:c r="M27" s="39" t="n">
        <x:f>IF(F27=0,"口径异常",G27/F27)</x:f>
        <x:v>0.8125</x:v>
      </x:c>
      <x:c r="N27" s="33" t="str">
        <x:f>IF(AND(M27&gt;=0.9,H27&gt;=0.9,I27&gt;=80),"是","否")</x:f>
        <x:v>否</x:v>
      </x:c>
      <x:c r="O27" s="33" t="str">
        <x:f>IF(COUNTIF($A$2:$A$41,A27)&gt;1,"重复编号",IF(OR(F27&lt;=0,G27&gt;F27),"课时异常",IF(OR(J27&lt;1,J27&gt;5),"满意度越界",IF(OR(H27="",I27=""),"关键值缺失",""))))</x:f>
      </x:c>
    </x:row>
    <x:row r="28">
      <x:c r="A28" s="33" t="str">
        <x:v>E027</x:v>
      </x:c>
      <x:c r="B28" s="33" t="str">
        <x:v>孙琪</x:v>
      </x:c>
      <x:c r="C28" s="33" t="str">
        <x:v>河北分公司</x:v>
      </x:c>
      <x:c r="D28" s="33" t="str">
        <x:v>综合管理</x:v>
      </x:c>
      <x:c r="E28" s="36" t="n">
        <x:v>46192</x:v>
      </x:c>
      <x:c r="F28" s="33" t="n">
        <x:v>16</x:v>
      </x:c>
      <x:c r="G28" s="33" t="n">
        <x:v>14</x:v>
      </x:c>
      <x:c r="H28" s="39" t="n">
        <x:v>0.83</x:v>
      </x:c>
      <x:c r="I28" s="33" t="n">
        <x:v>86</x:v>
      </x:c>
      <x:c r="J28" s="42" t="n">
        <x:v>4.8</x:v>
      </x:c>
      <x:c r="K28" s="33" t="str">
        <x:v>否</x:v>
      </x:c>
      <x:c r="L28" s="33" t="str"/>
      <x:c r="M28" s="39" t="n">
        <x:f>IF(F28=0,"口径异常",G28/F28)</x:f>
        <x:v>0.875</x:v>
      </x:c>
      <x:c r="N28" s="33" t="str">
        <x:f>IF(AND(M28&gt;=0.9,H28&gt;=0.9,I28&gt;=80),"是","否")</x:f>
        <x:v>否</x:v>
      </x:c>
      <x:c r="O28" s="33" t="str">
        <x:f>IF(COUNTIF($A$2:$A$41,A28)&gt;1,"重复编号",IF(OR(F28&lt;=0,G28&gt;F28),"课时异常",IF(OR(J28&lt;1,J28&gt;5),"满意度越界",IF(OR(H28="",I28=""),"关键值缺失",""))))</x:f>
      </x:c>
    </x:row>
    <x:row r="29">
      <x:c r="A29" s="33" t="str">
        <x:v>E028</x:v>
      </x:c>
      <x:c r="B29" s="33" t="str">
        <x:v>李楠</x:v>
      </x:c>
      <x:c r="C29" s="33" t="str">
        <x:v>河南分公司</x:v>
      </x:c>
      <x:c r="D29" s="33" t="str">
        <x:v>客户服务</x:v>
      </x:c>
      <x:c r="E29" s="36" t="n">
        <x:v>46193</x:v>
      </x:c>
      <x:c r="F29" s="33" t="n">
        <x:v>16</x:v>
      </x:c>
      <x:c r="G29" s="33" t="n">
        <x:v>15</x:v>
      </x:c>
      <x:c r="H29" s="39" t="n">
        <x:v>0.9</x:v>
      </x:c>
      <x:c r="I29" s="33" t="n">
        <x:v>97</x:v>
      </x:c>
      <x:c r="J29" s="42" t="n">
        <x:v>3</x:v>
      </x:c>
      <x:c r="K29" s="33" t="str">
        <x:v>否</x:v>
      </x:c>
      <x:c r="L29" s="33" t="str"/>
      <x:c r="M29" s="39" t="n">
        <x:f>IF(F29=0,"口径异常",G29/F29)</x:f>
        <x:v>0.9375</x:v>
      </x:c>
      <x:c r="N29" s="33" t="str">
        <x:f>IF(AND(M29&gt;=0.9,H29&gt;=0.9,I29&gt;=80),"是","否")</x:f>
        <x:v>是</x:v>
      </x:c>
      <x:c r="O29" s="33" t="str">
        <x:f>IF(COUNTIF($A$2:$A$41,A29)&gt;1,"重复编号",IF(OR(F29&lt;=0,G29&gt;F29),"课时异常",IF(OR(J29&lt;1,J29&gt;5),"满意度越界",IF(OR(H29="",I29=""),"关键值缺失",""))))</x:f>
      </x:c>
    </x:row>
    <x:row r="30">
      <x:c r="A30" s="33" t="str">
        <x:v>E029</x:v>
      </x:c>
      <x:c r="B30" s="33" t="str">
        <x:v>周晨</x:v>
      </x:c>
      <x:c r="C30" s="33" t="str">
        <x:v>运营支持部</x:v>
      </x:c>
      <x:c r="D30" s="33" t="str">
        <x:v>培训管理</x:v>
      </x:c>
      <x:c r="E30" s="36" t="n">
        <x:v>46194</x:v>
      </x:c>
      <x:c r="F30" s="33" t="n">
        <x:v>16</x:v>
      </x:c>
      <x:c r="G30" s="33" t="n">
        <x:v>16</x:v>
      </x:c>
      <x:c r="H30" s="39" t="n">
        <x:v>0.97</x:v>
      </x:c>
      <x:c r="I30" s="33" t="n">
        <x:v>77</x:v>
      </x:c>
      <x:c r="J30" s="42" t="n">
        <x:v>3.3</x:v>
      </x:c>
      <x:c r="K30" s="33" t="str">
        <x:v>是</x:v>
      </x:c>
      <x:c r="L30" s="33" t="str"/>
      <x:c r="M30" s="39" t="n">
        <x:f>IF(F30=0,"口径异常",G30/F30)</x:f>
        <x:v>1</x:v>
      </x:c>
      <x:c r="N30" s="33" t="str">
        <x:f>IF(AND(M30&gt;=0.9,H30&gt;=0.9,I30&gt;=80),"是","否")</x:f>
        <x:v>否</x:v>
      </x:c>
      <x:c r="O30" s="33" t="str">
        <x:f>IF(COUNTIF($A$2:$A$41,A30)&gt;1,"重复编号",IF(OR(F30&lt;=0,G30&gt;F30),"课时异常",IF(OR(J30&lt;1,J30&gt;5),"满意度越界",IF(OR(H30="",I30=""),"关键值缺失",""))))</x:f>
      </x:c>
    </x:row>
    <x:row r="31">
      <x:c r="A31" s="33" t="str">
        <x:v>E030</x:v>
      </x:c>
      <x:c r="B31" s="33" t="str">
        <x:v>吴宇</x:v>
      </x:c>
      <x:c r="C31" s="33" t="str">
        <x:v>客户服务部</x:v>
      </x:c>
      <x:c r="D31" s="33" t="str">
        <x:v>营销支持</x:v>
      </x:c>
      <x:c r="E31" s="36" t="n">
        <x:v>46195</x:v>
      </x:c>
      <x:c r="F31" s="33" t="n">
        <x:v>16</x:v>
      </x:c>
      <x:c r="G31" s="33" t="n">
        <x:v>12</x:v>
      </x:c>
      <x:c r="H31" s="39" t="n">
        <x:v>0.81</x:v>
      </x:c>
      <x:c r="I31" s="33" t="n">
        <x:v>88</x:v>
      </x:c>
      <x:c r="J31" s="42" t="n">
        <x:v>3.6</x:v>
      </x:c>
      <x:c r="K31" s="33" t="str">
        <x:v>否</x:v>
      </x:c>
      <x:c r="L31" s="33" t="str"/>
      <x:c r="M31" s="39" t="n">
        <x:f>IF(F31=0,"口径异常",G31/F31)</x:f>
        <x:v>0.75</x:v>
      </x:c>
      <x:c r="N31" s="33" t="str">
        <x:f>IF(AND(M31&gt;=0.9,H31&gt;=0.9,I31&gt;=80),"是","否")</x:f>
        <x:v>否</x:v>
      </x:c>
      <x:c r="O31" s="33" t="str">
        <x:f>IF(COUNTIF($A$2:$A$41,A31)&gt;1,"重复编号",IF(OR(F31&lt;=0,G31&gt;F31),"课时异常",IF(OR(J31&lt;1,J31&gt;5),"满意度越界",IF(OR(H31="",I31=""),"关键值缺失",""))))</x:f>
      </x:c>
    </x:row>
    <x:row r="32">
      <x:c r="A32" s="33" t="str">
        <x:v>E031</x:v>
      </x:c>
      <x:c r="B32" s="33" t="str">
        <x:v>郑禾</x:v>
      </x:c>
      <x:c r="C32" s="33" t="str">
        <x:v>北京分公司</x:v>
      </x:c>
      <x:c r="D32" s="33" t="str">
        <x:v>运营管理</x:v>
      </x:c>
      <x:c r="E32" s="36" t="n">
        <x:v>46196</x:v>
      </x:c>
      <x:c r="F32" s="33" t="n">
        <x:v>16</x:v>
      </x:c>
      <x:c r="G32" s="33" t="n">
        <x:v>13</x:v>
      </x:c>
      <x:c r="H32" s="39" t="n">
        <x:v>0.88</x:v>
      </x:c>
      <x:c r="I32" s="33"/>
      <x:c r="J32" s="42" t="n">
        <x:v>3.9</x:v>
      </x:c>
      <x:c r="K32" s="33" t="str">
        <x:v>否</x:v>
      </x:c>
      <x:c r="L32" s="33" t="str">
        <x:v>测验平台未回传</x:v>
      </x:c>
      <x:c r="M32" s="39" t="n">
        <x:f>IF(F32=0,"口径异常",G32/F32)</x:f>
        <x:v>0.8125</x:v>
      </x:c>
      <x:c r="N32" s="33" t="str">
        <x:f>IF(AND(M32&gt;=0.9,H32&gt;=0.9,I32&gt;=80),"是","否")</x:f>
        <x:v>否</x:v>
      </x:c>
      <x:c r="O32" s="33" t="str">
        <x:f>IF(COUNTIF($A$2:$A$41,A32)&gt;1,"重复编号",IF(OR(F32&lt;=0,G32&gt;F32),"课时异常",IF(OR(J32&lt;1,J32&gt;5),"满意度越界",IF(OR(H32="",I32=""),"关键值缺失",""))))</x:f>
        <x:v>关键值缺失</x:v>
      </x:c>
    </x:row>
    <x:row r="33">
      <x:c r="A33" s="33" t="str">
        <x:v>E032</x:v>
      </x:c>
      <x:c r="B33" s="33" t="str">
        <x:v>王安</x:v>
      </x:c>
      <x:c r="C33" s="33" t="str">
        <x:v>河北分公司</x:v>
      </x:c>
      <x:c r="D33" s="33" t="str">
        <x:v>综合管理</x:v>
      </x:c>
      <x:c r="E33" s="36" t="n">
        <x:v>46197</x:v>
      </x:c>
      <x:c r="F33" s="33" t="n">
        <x:v>16</x:v>
      </x:c>
      <x:c r="G33" s="33" t="n">
        <x:v>14</x:v>
      </x:c>
      <x:c r="H33" s="39" t="n">
        <x:v>0.95</x:v>
      </x:c>
      <x:c r="I33" s="33" t="n">
        <x:v>79</x:v>
      </x:c>
      <x:c r="J33" s="42" t="n">
        <x:v>4.2</x:v>
      </x:c>
      <x:c r="K33" s="33" t="str">
        <x:v>是</x:v>
      </x:c>
      <x:c r="L33" s="33" t="str"/>
      <x:c r="M33" s="39" t="n">
        <x:f>IF(F33=0,"口径异常",G33/F33)</x:f>
        <x:v>0.875</x:v>
      </x:c>
      <x:c r="N33" s="33" t="str">
        <x:f>IF(AND(M33&gt;=0.9,H33&gt;=0.9,I33&gt;=80),"是","否")</x:f>
        <x:v>否</x:v>
      </x:c>
      <x:c r="O33" s="33" t="str">
        <x:f>IF(COUNTIF($A$2:$A$41,A33)&gt;1,"重复编号",IF(OR(F33&lt;=0,G33&gt;F33),"课时异常",IF(OR(J33&lt;1,J33&gt;5),"满意度越界",IF(OR(H33="",I33=""),"关键值缺失",""))))</x:f>
      </x:c>
    </x:row>
    <x:row r="34">
      <x:c r="A34" s="33" t="str">
        <x:v>E033</x:v>
      </x:c>
      <x:c r="B34" s="33" t="str">
        <x:v>冯言</x:v>
      </x:c>
      <x:c r="C34" s="33" t="str">
        <x:v>河南分公司</x:v>
      </x:c>
      <x:c r="D34" s="33" t="str">
        <x:v>客户服务</x:v>
      </x:c>
      <x:c r="E34" s="36" t="n">
        <x:v>46198</x:v>
      </x:c>
      <x:c r="F34" s="33" t="n">
        <x:v>16</x:v>
      </x:c>
      <x:c r="G34" s="33" t="n">
        <x:v>15</x:v>
      </x:c>
      <x:c r="H34" s="39"/>
      <x:c r="I34" s="33" t="n">
        <x:v>90</x:v>
      </x:c>
      <x:c r="J34" s="42" t="n">
        <x:v>4.5</x:v>
      </x:c>
      <x:c r="K34" s="33" t="str">
        <x:v>否</x:v>
      </x:c>
      <x:c r="L34" s="33" t="str"/>
      <x:c r="M34" s="39" t="n">
        <x:f>IF(F34=0,"口径异常",G34/F34)</x:f>
        <x:v>0.9375</x:v>
      </x:c>
      <x:c r="N34" s="33" t="str">
        <x:f>IF(AND(M34&gt;=0.9,H34&gt;=0.9,I34&gt;=80),"是","否")</x:f>
        <x:v>否</x:v>
      </x:c>
      <x:c r="O34" s="33" t="str">
        <x:f>IF(COUNTIF($A$2:$A$41,A34)&gt;1,"重复编号",IF(OR(F34&lt;=0,G34&gt;F34),"课时异常",IF(OR(J34&lt;1,J34&gt;5),"满意度越界",IF(OR(H34="",I34=""),"关键值缺失",""))))</x:f>
        <x:v>关键值缺失</x:v>
      </x:c>
    </x:row>
    <x:row r="35">
      <x:c r="A35" s="33" t="str">
        <x:v>E034</x:v>
      </x:c>
      <x:c r="B35" s="33" t="str">
        <x:v>陈悦</x:v>
      </x:c>
      <x:c r="C35" s="33" t="str">
        <x:v>运营支持部</x:v>
      </x:c>
      <x:c r="D35" s="33" t="str">
        <x:v>培训管理</x:v>
      </x:c>
      <x:c r="E35" s="36" t="n">
        <x:v>46199</x:v>
      </x:c>
      <x:c r="F35" s="33" t="n">
        <x:v>16</x:v>
      </x:c>
      <x:c r="G35" s="33" t="n">
        <x:v>16</x:v>
      </x:c>
      <x:c r="H35" s="39" t="n">
        <x:v>0.86</x:v>
      </x:c>
      <x:c r="I35" s="33" t="n">
        <x:v>70</x:v>
      </x:c>
      <x:c r="J35" s="42" t="n">
        <x:v>4.8</x:v>
      </x:c>
      <x:c r="K35" s="33" t="str">
        <x:v>是</x:v>
      </x:c>
      <x:c r="L35" s="33" t="str"/>
      <x:c r="M35" s="39" t="n">
        <x:f>IF(F35=0,"口径异常",G35/F35)</x:f>
        <x:v>1</x:v>
      </x:c>
      <x:c r="N35" s="33" t="str">
        <x:f>IF(AND(M35&gt;=0.9,H35&gt;=0.9,I35&gt;=80),"是","否")</x:f>
        <x:v>否</x:v>
      </x:c>
      <x:c r="O35" s="33" t="str">
        <x:f>IF(COUNTIF($A$2:$A$41,A35)&gt;1,"重复编号",IF(OR(F35&lt;=0,G35&gt;F35),"课时异常",IF(OR(J35&lt;1,J35&gt;5),"满意度越界",IF(OR(H35="",I35=""),"关键值缺失",""))))</x:f>
      </x:c>
    </x:row>
    <x:row r="36">
      <x:c r="A36" s="33" t="str">
        <x:v>E035</x:v>
      </x:c>
      <x:c r="B36" s="33" t="str">
        <x:v>褚桐</x:v>
      </x:c>
      <x:c r="C36" s="33" t="str">
        <x:v>客户服务部</x:v>
      </x:c>
      <x:c r="D36" s="33" t="str">
        <x:v>营销支持</x:v>
      </x:c>
      <x:c r="E36" s="36" t="n">
        <x:v>46200</x:v>
      </x:c>
      <x:c r="F36" s="33" t="n">
        <x:v>16</x:v>
      </x:c>
      <x:c r="G36" s="33" t="n">
        <x:v>12</x:v>
      </x:c>
      <x:c r="H36" s="39" t="n">
        <x:v>0.93</x:v>
      </x:c>
      <x:c r="I36" s="33" t="n">
        <x:v>81</x:v>
      </x:c>
      <x:c r="J36" s="42" t="n">
        <x:v>7</x:v>
      </x:c>
      <x:c r="K36" s="33" t="str">
        <x:v>否</x:v>
      </x:c>
      <x:c r="L36" s="33" t="str"/>
      <x:c r="M36" s="39" t="n">
        <x:f>IF(F36=0,"口径异常",G36/F36)</x:f>
        <x:v>0.75</x:v>
      </x:c>
      <x:c r="N36" s="33" t="str">
        <x:f>IF(AND(M36&gt;=0.9,H36&gt;=0.9,I36&gt;=80),"是","否")</x:f>
        <x:v>否</x:v>
      </x:c>
      <x:c r="O36" s="33" t="str">
        <x:f>IF(COUNTIF($A$2:$A$41,A36)&gt;1,"重复编号",IF(OR(F36&lt;=0,G36&gt;F36),"课时异常",IF(OR(J36&lt;1,J36&gt;5),"满意度越界",IF(OR(H36="",I36=""),"关键值缺失",""))))</x:f>
        <x:v>满意度越界</x:v>
      </x:c>
    </x:row>
    <x:row r="37">
      <x:c r="A37" s="33" t="str">
        <x:v>E036</x:v>
      </x:c>
      <x:c r="B37" s="33" t="str">
        <x:v>卫宁</x:v>
      </x:c>
      <x:c r="C37" s="33" t="str">
        <x:v>北京分公司</x:v>
      </x:c>
      <x:c r="D37" s="33" t="str">
        <x:v>运营管理</x:v>
      </x:c>
      <x:c r="E37" s="36" t="n">
        <x:v>46189</x:v>
      </x:c>
      <x:c r="F37" s="33" t="n">
        <x:v>16</x:v>
      </x:c>
      <x:c r="G37" s="33" t="n">
        <x:v>13</x:v>
      </x:c>
      <x:c r="H37" s="39" t="n">
        <x:v>1</x:v>
      </x:c>
      <x:c r="I37" s="33" t="n">
        <x:v>92</x:v>
      </x:c>
      <x:c r="J37" s="42" t="n">
        <x:v>3.3</x:v>
      </x:c>
      <x:c r="K37" s="33" t="str">
        <x:v>否</x:v>
      </x:c>
      <x:c r="L37" s="33" t="str"/>
      <x:c r="M37" s="39" t="n">
        <x:f>IF(F37=0,"口径异常",G37/F37)</x:f>
        <x:v>0.8125</x:v>
      </x:c>
      <x:c r="N37" s="33" t="str">
        <x:f>IF(AND(M37&gt;=0.9,H37&gt;=0.9,I37&gt;=80),"是","否")</x:f>
        <x:v>否</x:v>
      </x:c>
      <x:c r="O37" s="33" t="str">
        <x:f>IF(COUNTIF($A$2:$A$41,A37)&gt;1,"重复编号",IF(OR(F37&lt;=0,G37&gt;F37),"课时异常",IF(OR(J37&lt;1,J37&gt;5),"满意度越界",IF(OR(H37="",I37=""),"关键值缺失",""))))</x:f>
      </x:c>
    </x:row>
    <x:row r="38">
      <x:c r="A38" s="33" t="str">
        <x:v>E037</x:v>
      </x:c>
      <x:c r="B38" s="33" t="str">
        <x:v>赵然</x:v>
      </x:c>
      <x:c r="C38" s="33" t="str">
        <x:v>河北分公司</x:v>
      </x:c>
      <x:c r="D38" s="33" t="str">
        <x:v>综合管理</x:v>
      </x:c>
      <x:c r="E38" s="36" t="n">
        <x:v>46190</x:v>
      </x:c>
      <x:c r="F38" s="33" t="n">
        <x:v>0</x:v>
      </x:c>
      <x:c r="G38" s="33" t="n">
        <x:v>14</x:v>
      </x:c>
      <x:c r="H38" s="39" t="n">
        <x:v>0.84</x:v>
      </x:c>
      <x:c r="I38" s="33" t="n">
        <x:v>72</x:v>
      </x:c>
      <x:c r="J38" s="42" t="n">
        <x:v>3.6</x:v>
      </x:c>
      <x:c r="K38" s="33" t="str">
        <x:v>是</x:v>
      </x:c>
      <x:c r="L38" s="33" t="str"/>
      <x:c r="M38" s="39" t="str">
        <x:f>IF(F38=0,"口径异常",G38/F38)</x:f>
        <x:v>口径异常</x:v>
      </x:c>
      <x:c r="N38" s="33" t="str">
        <x:f>IF(AND(M38&gt;=0.9,H38&gt;=0.9,I38&gt;=80),"是","否")</x:f>
        <x:v>否</x:v>
      </x:c>
      <x:c r="O38" s="33" t="str">
        <x:f>IF(COUNTIF($A$2:$A$41,A38)&gt;1,"重复编号",IF(OR(F38&lt;=0,G38&gt;F38),"课时异常",IF(OR(J38&lt;1,J38&gt;5),"满意度越界",IF(OR(H38="",I38=""),"关键值缺失",""))))</x:f>
        <x:v>课时异常</x:v>
      </x:c>
    </x:row>
    <x:row r="39">
      <x:c r="A39" s="33" t="str">
        <x:v>E038</x:v>
      </x:c>
      <x:c r="B39" s="33" t="str">
        <x:v>钱清</x:v>
      </x:c>
      <x:c r="C39" s="33" t="str">
        <x:v>河南分公司</x:v>
      </x:c>
      <x:c r="D39" s="33" t="str">
        <x:v>客户服务</x:v>
      </x:c>
      <x:c r="E39" s="36" t="n">
        <x:v>46191</x:v>
      </x:c>
      <x:c r="F39" s="33" t="n">
        <x:v>16</x:v>
      </x:c>
      <x:c r="G39" s="33" t="n">
        <x:v>20</x:v>
      </x:c>
      <x:c r="H39" s="39" t="n">
        <x:v>0.91</x:v>
      </x:c>
      <x:c r="I39" s="33" t="n">
        <x:v>83</x:v>
      </x:c>
      <x:c r="J39" s="42" t="n">
        <x:v>3.9</x:v>
      </x:c>
      <x:c r="K39" s="33" t="str">
        <x:v>否</x:v>
      </x:c>
      <x:c r="L39" s="33" t="str"/>
      <x:c r="M39" s="39" t="n">
        <x:f>IF(F39=0,"口径异常",G39/F39)</x:f>
        <x:v>1.25</x:v>
      </x:c>
      <x:c r="N39" s="33" t="str">
        <x:f>IF(AND(M39&gt;=0.9,H39&gt;=0.9,I39&gt;=80),"是","否")</x:f>
        <x:v>是</x:v>
      </x:c>
      <x:c r="O39" s="33" t="str">
        <x:f>IF(COUNTIF($A$2:$A$41,A39)&gt;1,"重复编号",IF(OR(F39&lt;=0,G39&gt;F39),"课时异常",IF(OR(J39&lt;1,J39&gt;5),"满意度越界",IF(OR(H39="",I39=""),"关键值缺失",""))))</x:f>
        <x:v>课时异常</x:v>
      </x:c>
    </x:row>
    <x:row r="40">
      <x:c r="A40" s="33" t="str">
        <x:v>E039</x:v>
      </x:c>
      <x:c r="B40" s="33" t="str">
        <x:v>孙琪</x:v>
      </x:c>
      <x:c r="C40" s="33" t="str">
        <x:v>运营支持部</x:v>
      </x:c>
      <x:c r="D40" s="33" t="str">
        <x:v>培训管理</x:v>
      </x:c>
      <x:c r="E40" s="36" t="n">
        <x:v>46192</x:v>
      </x:c>
      <x:c r="F40" s="33" t="n">
        <x:v>16</x:v>
      </x:c>
      <x:c r="G40" s="33" t="n">
        <x:v>16</x:v>
      </x:c>
      <x:c r="H40" s="39" t="n">
        <x:v>0.98</x:v>
      </x:c>
      <x:c r="I40" s="33" t="n">
        <x:v>94</x:v>
      </x:c>
      <x:c r="J40" s="42" t="n">
        <x:v>4.2</x:v>
      </x:c>
      <x:c r="K40" s="33" t="str">
        <x:v>否</x:v>
      </x:c>
      <x:c r="L40" s="33" t="str"/>
      <x:c r="M40" s="39" t="n">
        <x:f>IF(F40=0,"口径异常",G40/F40)</x:f>
        <x:v>1</x:v>
      </x:c>
      <x:c r="N40" s="33" t="str">
        <x:f>IF(AND(M40&gt;=0.9,H40&gt;=0.9,I40&gt;=80),"是","否")</x:f>
        <x:v>是</x:v>
      </x:c>
      <x:c r="O40" s="33" t="str">
        <x:f>IF(COUNTIF($A$2:$A$41,A40)&gt;1,"重复编号",IF(OR(F40&lt;=0,G40&gt;F40),"课时异常",IF(OR(J40&lt;1,J40&gt;5),"满意度越界",IF(OR(H40="",I40=""),"关键值缺失",""))))</x:f>
      </x:c>
    </x:row>
    <x:row r="41">
      <x:c r="A41" s="34" t="str">
        <x:v>E014</x:v>
      </x:c>
      <x:c r="B41" s="34" t="str">
        <x:v>李楠</x:v>
      </x:c>
      <x:c r="C41" s="34" t="str">
        <x:v>客户服务部</x:v>
      </x:c>
      <x:c r="D41" s="34" t="str">
        <x:v>营销支持</x:v>
      </x:c>
      <x:c r="E41" s="37" t="n">
        <x:v>46193</x:v>
      </x:c>
      <x:c r="F41" s="34" t="n">
        <x:v>16</x:v>
      </x:c>
      <x:c r="G41" s="34" t="n">
        <x:v>12</x:v>
      </x:c>
      <x:c r="H41" s="40" t="n">
        <x:v>0.82</x:v>
      </x:c>
      <x:c r="I41" s="34" t="n">
        <x:v>74</x:v>
      </x:c>
      <x:c r="J41" s="43" t="n">
        <x:v>4.5</x:v>
      </x:c>
      <x:c r="K41" s="34" t="str">
        <x:v>是</x:v>
      </x:c>
      <x:c r="L41" s="34" t="str">
        <x:v>导入批次B</x:v>
      </x:c>
      <x:c r="M41" s="40" t="n">
        <x:f>IF(F41=0,"口径异常",G41/F41)</x:f>
        <x:v>0.75</x:v>
      </x:c>
      <x:c r="N41" s="34" t="str">
        <x:f>IF(AND(M41&gt;=0.9,H41&gt;=0.9,I41&gt;=80),"是","否")</x:f>
        <x:v>否</x:v>
      </x:c>
      <x:c r="O41" s="34" t="str">
        <x:f>IF(COUNTIF($A$2:$A$41,A41)&gt;1,"重复编号",IF(OR(F41&lt;=0,G41&gt;F41),"课时异常",IF(OR(J41&lt;1,J41&gt;5),"满意度越界",IF(OR(H41="",I41=""),"关键值缺失",""))))</x:f>
        <x:v>重复编号</x:v>
      </x:c>
    </x:row>
  </x:sheetData>
  <x:conditionalFormatting sqref="O2:O41">
    <x:cfRule type="containsText" dxfId="0" priority="1" operator="containsText" text="重复编号"/>
    <x:cfRule type="containsText" dxfId="1" priority="2" operator="containsText" text="课时异常"/>
    <x:cfRule type="containsText" dxfId="2" priority="3" operator="containsText" text="满意度越界"/>
    <x:cfRule type="containsText" dxfId="3" priority="4" operator="containsText" text="关键值缺失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" hidden="0" customWidth="1"/>
    <x:col min="2" max="2" width="7.880000114440918" hidden="0" customWidth="1"/>
    <x:col min="3" max="3" width="9.75" hidden="0" customWidth="1"/>
    <x:col min="4" max="4" width="13.380000114440918" hidden="0" customWidth="1"/>
    <x:col min="5" max="5" width="11.5" hidden="0" customWidth="1"/>
    <x:col min="6" max="6" width="28" hidden="0" customWidth="1"/>
  </x:cols>
  <x:sheetData>
    <x:row r="1" ht="34" customHeight="1">
      <x:c r="A1" s="3" t="str">
        <x:v>部门目标与口径说明（教学模拟）</x:v>
      </x:c>
    </x:row>
    <x:row r="3" ht="30" customHeight="1">
      <x:c r="A3" s="25" t="str">
        <x:v>部门</x:v>
      </x:c>
      <x:c r="B3" s="26" t="str">
        <x:v>计划人数</x:v>
      </x:c>
      <x:c r="C3" s="26" t="str">
        <x:v>出勤率目标</x:v>
      </x:c>
      <x:c r="D3" s="26" t="str">
        <x:v>在线完成率目标</x:v>
      </x:c>
      <x:c r="E3" s="26" t="str">
        <x:v>测验均分目标</x:v>
      </x:c>
      <x:c r="F3" s="27" t="str">
        <x:v>口径说明</x:v>
      </x:c>
    </x:row>
    <x:row r="4">
      <x:c r="A4" s="32" t="str">
        <x:v>北京分公司</x:v>
      </x:c>
      <x:c r="B4" s="32" t="n">
        <x:v>8</x:v>
      </x:c>
      <x:c r="C4" s="38" t="n">
        <x:v>0.9</x:v>
      </x:c>
      <x:c r="D4" s="38" t="n">
        <x:v>0.9</x:v>
      </x:c>
      <x:c r="E4" s="32" t="n">
        <x:v>82</x:v>
      </x:c>
      <x:c r="F4" s="32" t="str">
        <x:v>按唯一学员编号计算</x:v>
      </x:c>
    </x:row>
    <x:row r="5">
      <x:c r="A5" s="33" t="str">
        <x:v>河北分公司</x:v>
      </x:c>
      <x:c r="B5" s="33" t="n">
        <x:v>8</x:v>
      </x:c>
      <x:c r="C5" s="39" t="n">
        <x:v>0.9</x:v>
      </x:c>
      <x:c r="D5" s="39" t="n">
        <x:v>0.92</x:v>
      </x:c>
      <x:c r="E5" s="33" t="n">
        <x:v>83</x:v>
      </x:c>
      <x:c r="F5" s="33" t="str">
        <x:v>按唯一学员编号计算</x:v>
      </x:c>
    </x:row>
    <x:row r="6">
      <x:c r="A6" s="33" t="str">
        <x:v>河南分公司</x:v>
      </x:c>
      <x:c r="B6" s="33" t="n">
        <x:v>8</x:v>
      </x:c>
      <x:c r="C6" s="39" t="n">
        <x:v>0.9</x:v>
      </x:c>
      <x:c r="D6" s="39" t="n">
        <x:v>0.9</x:v>
      </x:c>
      <x:c r="E6" s="33" t="n">
        <x:v>82</x:v>
      </x:c>
      <x:c r="F6" s="33" t="str">
        <x:v>按唯一学员编号计算</x:v>
      </x:c>
    </x:row>
    <x:row r="7">
      <x:c r="A7" s="33" t="str">
        <x:v>运营支持部</x:v>
      </x:c>
      <x:c r="B7" s="33" t="n">
        <x:v>8</x:v>
      </x:c>
      <x:c r="C7" s="39" t="n">
        <x:v>0.9</x:v>
      </x:c>
      <x:c r="D7" s="39" t="n">
        <x:v>0.9</x:v>
      </x:c>
      <x:c r="E7" s="33" t="n">
        <x:v>83</x:v>
      </x:c>
      <x:c r="F7" s="33" t="str">
        <x:v>按报名人数计算</x:v>
      </x:c>
    </x:row>
    <x:row r="8">
      <x:c r="A8" s="34" t="str">
        <x:v>客户服务部</x:v>
      </x:c>
      <x:c r="B8" s="34" t="n">
        <x:v>8</x:v>
      </x:c>
      <x:c r="C8" s="40" t="n">
        <x:v>0.9</x:v>
      </x:c>
      <x:c r="D8" s="40" t="n">
        <x:v>0.9</x:v>
      </x:c>
      <x:c r="E8" s="34" t="n">
        <x:v>82</x:v>
      </x:c>
      <x:c r="F8" s="34" t="str">
        <x:v>按唯一学员编号计算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6" hidden="0" customWidth="1"/>
    <x:col min="3" max="3" width="8.75" hidden="0" customWidth="1"/>
    <x:col min="4" max="4" width="30" hidden="0" customWidth="1"/>
    <x:col min="6" max="6" width="8.880000114440918" hidden="0" customWidth="1"/>
    <x:col min="7" max="7" width="6" hidden="0" customWidth="1"/>
    <x:col min="8" max="8" width="7.880000114440918" hidden="0" customWidth="1"/>
  </x:cols>
  <x:sheetData>
    <x:row r="1" ht="34" customHeight="1">
      <x:c r="A1" s="3" t="str">
        <x:v>管理摘要（基于原始数据，需先完成质量核验）</x:v>
      </x:c>
    </x:row>
    <x:row r="3" ht="30" customHeight="1">
      <x:c r="A3" s="25" t="str">
        <x:v>指标</x:v>
      </x:c>
      <x:c r="B3" s="26" t="str">
        <x:v>原始值</x:v>
      </x:c>
      <x:c r="C3" s="26" t="str">
        <x:v>目标/参考</x:v>
      </x:c>
      <x:c r="D3" s="27" t="str">
        <x:v>解读提示</x:v>
      </x:c>
      <x:c r="F3" s="25" t="str">
        <x:v>部门</x:v>
      </x:c>
      <x:c r="G3" s="26" t="str">
        <x:v>记录数</x:v>
      </x:c>
      <x:c r="H3" s="27" t="str">
        <x:v>测验均分</x:v>
      </x:c>
    </x:row>
    <x:row r="4">
      <x:c r="A4" s="32" t="str">
        <x:v>原始记录数</x:v>
      </x:c>
      <x:c r="B4" s="32" t="n">
        <x:f>COUNTA('学员明细'!A2:A41)</x:f>
        <x:v>40</x:v>
      </x:c>
      <x:c r="C4" s="32" t="n">
        <x:v>40</x:v>
      </x:c>
      <x:c r="D4" s="32" t="str">
        <x:v>记录数不等于真实人数</x:v>
      </x:c>
      <x:c r="F4" s="32" t="str">
        <x:v>北京分公司</x:v>
      </x:c>
      <x:c r="G4" s="32" t="n">
        <x:f>COUNTIF('学员明细'!$C$2:$C$41,F4)</x:f>
        <x:v>8</x:v>
      </x:c>
      <x:c r="H4" s="41" t="n">
        <x:f>AVERAGEIF('学员明细'!$C$2:$C$41,F4,'学员明细'!$I$2:$I$41)</x:f>
        <x:v>83.57142857142857</x:v>
      </x:c>
    </x:row>
    <x:row r="5">
      <x:c r="A5" s="33" t="str">
        <x:v>唯一学员数</x:v>
      </x:c>
      <x:c r="B5" s="33" t="n">
        <x:f>COUNTA('学员明细'!A2:A41)-COUNTIF('学员明细'!O2:O41,"重复编号")/2</x:f>
        <x:v>39</x:v>
      </x:c>
      <x:c r="C5" s="33" t="n">
        <x:v>39</x:v>
      </x:c>
      <x:c r="D5" s="33" t="str">
        <x:v>必须先去重</x:v>
      </x:c>
      <x:c r="F5" s="33" t="str">
        <x:v>河北分公司</x:v>
      </x:c>
      <x:c r="G5" s="33" t="n">
        <x:f>COUNTIF('学员明细'!$C$2:$C$41,F5)</x:f>
        <x:v>8</x:v>
      </x:c>
      <x:c r="H5" s="42" t="n">
        <x:f>AVERAGEIF('学员明细'!$C$2:$C$41,F5,'学员明细'!$I$2:$I$41)</x:f>
        <x:v>81</x:v>
      </x:c>
    </x:row>
    <x:row r="6">
      <x:c r="A6" s="33" t="str">
        <x:v>系统标记异常数</x:v>
      </x:c>
      <x:c r="B6" s="33" t="n">
        <x:f>COUNTIF('学员明细'!O2:O41,"重复编号")+COUNTIF('学员明细'!O2:O41,"课时异常")+COUNTIF('学员明细'!O2:O41,"满意度越界")+COUNTIF('学员明细'!O2:O41,"关键值缺失")</x:f>
        <x:v>7</x:v>
      </x:c>
      <x:c r="C6" s="33" t="n">
        <x:v>0</x:v>
      </x:c>
      <x:c r="D6" s="33" t="str">
        <x:v>异常并非都能自动修复</x:v>
      </x:c>
      <x:c r="F6" s="33" t="str">
        <x:v>河南分公司</x:v>
      </x:c>
      <x:c r="G6" s="33" t="n">
        <x:f>COUNTIF('学员明细'!$C$2:$C$41,F6)</x:f>
        <x:v>8</x:v>
      </x:c>
      <x:c r="H6" s="42" t="n">
        <x:f>AVERAGEIF('学员明细'!$C$2:$C$41,F6,'学员明细'!$I$2:$I$41)</x:f>
        <x:v>84.25</x:v>
      </x:c>
    </x:row>
    <x:row r="7">
      <x:c r="A7" s="33" t="str">
        <x:v>平均出勤率</x:v>
      </x:c>
      <x:c r="B7" s="39" t="n">
        <x:f>AVERAGE('学员明细'!M2:M41)</x:f>
        <x:v>0.8830128205128205</x:v>
      </x:c>
      <x:c r="C7" s="39" t="n">
        <x:v>0.9</x:v>
      </x:c>
      <x:c r="D7" s="33" t="str">
        <x:v>需排除课时口径异常</x:v>
      </x:c>
      <x:c r="F7" s="33" t="str">
        <x:v>运营支持部</x:v>
      </x:c>
      <x:c r="G7" s="33" t="n">
        <x:f>COUNTIF('学员明细'!$C$2:$C$41,F7)</x:f>
        <x:v>8</x:v>
      </x:c>
      <x:c r="H7" s="42" t="n">
        <x:f>AVERAGEIF('学员明细'!$C$2:$C$41,F7,'学员明细'!$I$2:$I$41)</x:f>
        <x:v>83.625</x:v>
      </x:c>
    </x:row>
    <x:row r="8">
      <x:c r="A8" s="33" t="str">
        <x:v>平均测验成绩</x:v>
      </x:c>
      <x:c r="B8" s="42" t="n">
        <x:f>AVERAGE('学员明细'!I2:I41)</x:f>
        <x:v>83.07692307692308</x:v>
      </x:c>
      <x:c r="C8" s="42" t="n">
        <x:v>82</x:v>
      </x:c>
      <x:c r="D8" s="33" t="str">
        <x:v>缺失值会影响均值</x:v>
      </x:c>
      <x:c r="F8" s="34" t="str">
        <x:v>客户服务部</x:v>
      </x:c>
      <x:c r="G8" s="34" t="n">
        <x:f>COUNTIF('学员明细'!$C$2:$C$41,F8)</x:f>
        <x:v>8</x:v>
      </x:c>
      <x:c r="H8" s="43" t="n">
        <x:f>AVERAGEIF('学员明细'!$C$2:$C$41,F8,'学员明细'!$I$2:$I$41)</x:f>
        <x:v>83</x:v>
      </x:c>
    </x:row>
    <x:row r="9">
      <x:c r="A9" s="34" t="str">
        <x:v>双达标人数</x:v>
      </x:c>
      <x:c r="B9" s="34" t="n">
        <x:f>COUNTIF('学员明细'!N2:N41,"是")</x:f>
        <x:v>5</x:v>
      </x:c>
      <x:c r="C9" s="34" t="n">
        <x:v>32</x:v>
      </x:c>
      <x:c r="D9" s="34" t="str">
        <x:v>需明确去重与缺失值规则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5" hidden="0" customWidth="1"/>
    <x:col min="2" max="2" width="28" hidden="0" customWidth="1"/>
    <x:col min="3" max="3" width="28" hidden="0" customWidth="1"/>
    <x:col min="4" max="4" width="28" hidden="0" customWidth="1"/>
    <x:col min="5" max="5" width="17.25" hidden="0" customWidth="1"/>
  </x:cols>
  <x:sheetData>
    <x:row r="1" ht="34" customHeight="1">
      <x:c r="A1" s="3" t="str">
        <x:v>数据质量核验清单</x:v>
      </x:c>
    </x:row>
    <x:row r="3" ht="30" customHeight="1">
      <x:c r="A3" s="25" t="str">
        <x:v>检查项</x:v>
      </x:c>
      <x:c r="B3" s="26" t="str">
        <x:v>检查方法</x:v>
      </x:c>
      <x:c r="C3" s="26" t="str">
        <x:v>预期异常</x:v>
      </x:c>
      <x:c r="D3" s="26" t="str">
        <x:v>处置建议</x:v>
      </x:c>
      <x:c r="E3" s="27" t="str">
        <x:v>是否允许AI自动修正</x:v>
      </x:c>
    </x:row>
    <x:row r="4">
      <x:c r="A4" s="49" t="str">
        <x:v>重复学员编号</x:v>
      </x:c>
      <x:c r="B4" s="49" t="str">
        <x:v>同一编号出现两次或以上</x:v>
      </x:c>
      <x:c r="C4" s="49" t="str">
        <x:v>E014</x:v>
      </x:c>
      <x:c r="D4" s="49" t="str">
        <x:v>回查原始报名表，确认保留记录</x:v>
      </x:c>
      <x:c r="E4" s="49" t="str">
        <x:v>否</x:v>
      </x:c>
    </x:row>
    <x:row r="5">
      <x:c r="A5" s="50" t="str">
        <x:v>课时口径</x:v>
      </x:c>
      <x:c r="B5" s="50" t="str">
        <x:v>应到课时小于等于0，或实到大于应到</x:v>
      </x:c>
      <x:c r="C5" s="50" t="str">
        <x:v>2条</x:v>
      </x:c>
      <x:c r="D5" s="50" t="str">
        <x:v>与教务确认补课/旁听口径</x:v>
      </x:c>
      <x:c r="E5" s="50" t="str">
        <x:v>否</x:v>
      </x:c>
    </x:row>
    <x:row r="6">
      <x:c r="A6" s="50" t="str">
        <x:v>满意度范围</x:v>
      </x:c>
      <x:c r="B6" s="50" t="str">
        <x:v>值不在1-5之间</x:v>
      </x:c>
      <x:c r="C6" s="50" t="str">
        <x:v>1条</x:v>
      </x:c>
      <x:c r="D6" s="50" t="str">
        <x:v>回查问卷导出字段</x:v>
      </x:c>
      <x:c r="E6" s="50" t="str">
        <x:v>否</x:v>
      </x:c>
    </x:row>
    <x:row r="7">
      <x:c r="A7" s="50" t="str">
        <x:v>关键值缺失</x:v>
      </x:c>
      <x:c r="B7" s="50" t="str">
        <x:v>在线完成率或测验为空</x:v>
      </x:c>
      <x:c r="C7" s="50" t="str">
        <x:v>2条</x:v>
      </x:c>
      <x:c r="D7" s="50" t="str">
        <x:v>催平台回传；汇报中单列</x:v>
      </x:c>
      <x:c r="E7" s="50" t="str">
        <x:v>否</x:v>
      </x:c>
    </x:row>
    <x:row r="8">
      <x:c r="A8" s="50" t="str">
        <x:v>部门目标口径</x:v>
      </x:c>
      <x:c r="B8" s="50" t="str">
        <x:v>按报名人数与唯一学员编号混用</x:v>
      </x:c>
      <x:c r="C8" s="50" t="str">
        <x:v>1处</x:v>
      </x:c>
      <x:c r="D8" s="50" t="str">
        <x:v>统一分母后再横向比较</x:v>
      </x:c>
      <x:c r="E8" s="50" t="str">
        <x:v>否</x:v>
      </x:c>
    </x:row>
    <x:row r="9">
      <x:c r="A9" s="51" t="str">
        <x:v>极端值</x:v>
      </x:c>
      <x:c r="B9" s="51" t="str">
        <x:v>成绩或完成率接近边界</x:v>
      </x:c>
      <x:c r="C9" s="51" t="str">
        <x:v>若干</x:v>
      </x:c>
      <x:c r="D9" s="51" t="str">
        <x:v>仅核验，不等于错误</x:v>
      </x:c>
      <x:c r="E9" s="51" t="str">
        <x:v>否</x:v>
      </x:c>
    </x:row>
  </x:sheetData>
  <x:mergeCells>
    <x:mergeCell ref="A1:E1"/>
  </x:mergeCells>
  <x:pageMargins left="0.7" right="0.7" top="0.75" bottom="0.75" header="0.3" footer="0.3"/>
</x:worksheet>
</file>